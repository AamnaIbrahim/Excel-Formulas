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920" firstSheet="9" activeTab="13"/>
  </bookViews>
  <sheets>
    <sheet name="Max-Min" sheetId="9" r:id="rId1"/>
    <sheet name="IF-IFS" sheetId="8" r:id="rId2"/>
    <sheet name="Len" sheetId="2" r:id="rId3"/>
    <sheet name="LeftRight" sheetId="4" r:id="rId4"/>
    <sheet name="DateToText" sheetId="3" r:id="rId5"/>
    <sheet name="TRIM" sheetId="6" r:id="rId6"/>
    <sheet name="Substitute" sheetId="7" r:id="rId7"/>
    <sheet name="SUM-SumIF" sheetId="12" r:id="rId8"/>
    <sheet name="Count-CountIF" sheetId="5" r:id="rId9"/>
    <sheet name="Concatenate" sheetId="1" r:id="rId10"/>
    <sheet name="Days-NetworkDays" sheetId="13" r:id="rId11"/>
    <sheet name="XLOOKUP" sheetId="14" r:id="rId12"/>
    <sheet name="XLOOKUP Horizontal" sheetId="15" r:id="rId13"/>
    <sheet name="VLOOKUP" sheetId="16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<sst xmlns="http://schemas.openxmlformats.org/spreadsheetml/2006/main" count="765" uniqueCount="128">
  <si>
    <t>EmployeeID</t>
  </si>
  <si>
    <t>FirstName</t>
  </si>
  <si>
    <t>LastName</t>
  </si>
  <si>
    <t>Age</t>
  </si>
  <si>
    <t>Gender</t>
  </si>
  <si>
    <t>JobTitle</t>
  </si>
  <si>
    <t>Salary</t>
  </si>
  <si>
    <t>StartDate</t>
  </si>
  <si>
    <t>EndDate</t>
  </si>
  <si>
    <t>Max</t>
  </si>
  <si>
    <t>Min</t>
  </si>
  <si>
    <t>Muhammad</t>
  </si>
  <si>
    <t>Ali</t>
  </si>
  <si>
    <t>Male</t>
  </si>
  <si>
    <t>Salesman</t>
  </si>
  <si>
    <t>Ayesha</t>
  </si>
  <si>
    <t>Khan</t>
  </si>
  <si>
    <t>Female</t>
  </si>
  <si>
    <t>Receptionist</t>
  </si>
  <si>
    <t>Shahzad</t>
  </si>
  <si>
    <t>Ahmed</t>
  </si>
  <si>
    <t>Fatima</t>
  </si>
  <si>
    <t>Sana</t>
  </si>
  <si>
    <t>Accountant</t>
  </si>
  <si>
    <t>Bilal</t>
  </si>
  <si>
    <t>Siddiqui</t>
  </si>
  <si>
    <t>HR</t>
  </si>
  <si>
    <t>Zain</t>
  </si>
  <si>
    <t>Faraz</t>
  </si>
  <si>
    <t>Regional Manager</t>
  </si>
  <si>
    <t>Maryam</t>
  </si>
  <si>
    <t>Nawaz</t>
  </si>
  <si>
    <t>Supplier Relations</t>
  </si>
  <si>
    <t>Kamran</t>
  </si>
  <si>
    <t>Akmal</t>
  </si>
  <si>
    <t>Faisal</t>
  </si>
  <si>
    <t>Qureshi</t>
  </si>
  <si>
    <t>IF</t>
  </si>
  <si>
    <t>IFS</t>
  </si>
  <si>
    <t>Can give multiple IF conditions in IFS. If more than 1 is true, the result for the first one is returned.</t>
  </si>
  <si>
    <t>Phone Numbers</t>
  </si>
  <si>
    <t>LEN(J)</t>
  </si>
  <si>
    <t>LEN(B2)</t>
  </si>
  <si>
    <t>Can be used to see difference between 100s and thousands. Can find bad Social Security numbers if they're 10 digits instead of 9</t>
  </si>
  <si>
    <t>Employee ID</t>
  </si>
  <si>
    <t>Email</t>
  </si>
  <si>
    <t>Left</t>
  </si>
  <si>
    <t>Right</t>
  </si>
  <si>
    <t>11/2/2001</t>
  </si>
  <si>
    <t>9/6/2015</t>
  </si>
  <si>
    <t>10/3/1999</t>
  </si>
  <si>
    <t>10/10/2015</t>
  </si>
  <si>
    <t>7/4/2000</t>
  </si>
  <si>
    <t>9/8/2017</t>
  </si>
  <si>
    <t>1/5/2000</t>
  </si>
  <si>
    <t>12/3/2015</t>
  </si>
  <si>
    <t>5/6/2001</t>
  </si>
  <si>
    <t>8/30/2017</t>
  </si>
  <si>
    <t>9/11/2013</t>
  </si>
  <si>
    <t>11/8/2003</t>
  </si>
  <si>
    <t>6/9/2002</t>
  </si>
  <si>
    <t>4/22/2015</t>
  </si>
  <si>
    <t>8/10/2003</t>
  </si>
  <si>
    <t>LEFT</t>
  </si>
  <si>
    <t>MID</t>
  </si>
  <si>
    <t>RIGHT</t>
  </si>
  <si>
    <t>Muhammad Ahmed Khan</t>
  </si>
  <si>
    <t>Ali Hassan Raza</t>
  </si>
  <si>
    <t>Umar Farooq Malik</t>
  </si>
  <si>
    <t>Ayesha Noor Fatima</t>
  </si>
  <si>
    <t>Zainab Ali Khan</t>
  </si>
  <si>
    <t>Maryam Iqbal Sheikh</t>
  </si>
  <si>
    <t>TEXT(H2,"dd/mm/yyyy")</t>
  </si>
  <si>
    <t>TRIM(C2)</t>
  </si>
  <si>
    <t>It just removes unwanted spaces on both sides</t>
  </si>
  <si>
    <t xml:space="preserve">      Sana</t>
  </si>
  <si>
    <t xml:space="preserve">Faraz       </t>
  </si>
  <si>
    <t xml:space="preserve">        Qureshi</t>
  </si>
  <si>
    <t>with 1 instance</t>
  </si>
  <si>
    <t>with 2 instances</t>
  </si>
  <si>
    <t>with NO instances</t>
  </si>
  <si>
    <t>1-5-2000</t>
  </si>
  <si>
    <t>8-30-2017</t>
  </si>
  <si>
    <t>SUM</t>
  </si>
  <si>
    <t>SUMIF</t>
  </si>
  <si>
    <t>SUMIFS</t>
  </si>
  <si>
    <t>COUNT</t>
  </si>
  <si>
    <t>COUNTIF</t>
  </si>
  <si>
    <t>COUNTIFS</t>
  </si>
  <si>
    <t>CONCAT(B2," ",C2)</t>
  </si>
  <si>
    <t>DAYS</t>
  </si>
  <si>
    <t>NETWORKDAYS</t>
  </si>
  <si>
    <t>Full Name</t>
  </si>
  <si>
    <t>XLOOKUP</t>
  </si>
  <si>
    <t>EMAIL</t>
  </si>
  <si>
    <t>Bilal Siddiqui</t>
  </si>
  <si>
    <t>Ayesha Khan</t>
  </si>
  <si>
    <t>Faisal Qureshi</t>
  </si>
  <si>
    <t>XLOOKUP w Multi Rows</t>
  </si>
  <si>
    <t>End Date</t>
  </si>
  <si>
    <t>XLOOKUP WILDCARD MATCH</t>
  </si>
  <si>
    <t>Bilal Siddi</t>
  </si>
  <si>
    <t>Faisal Q</t>
  </si>
  <si>
    <t>Start Date</t>
  </si>
  <si>
    <t>Person</t>
  </si>
  <si>
    <t>1/1/2000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</si>
  <si>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</si>
  <si>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</si>
  <si>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</si>
  <si>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</si>
  <si>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</si>
  <si>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</si>
  <si>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</si>
  <si>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</si>
  <si>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</si>
  <si>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</si>
  <si>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</si>
  <si>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</si>
  <si>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Paper</t>
  </si>
  <si>
    <t>Printer</t>
  </si>
  <si>
    <t>Manila Folder</t>
  </si>
  <si>
    <t>XLOOKUP Horizontal</t>
  </si>
  <si>
    <t>February</t>
  </si>
  <si>
    <t>XLOOKUP SUM</t>
  </si>
  <si>
    <t>Feb-March</t>
  </si>
  <si>
    <t>Zain Faraz</t>
  </si>
  <si>
    <t>Kamran Akmal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</si>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</sst>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Calibri"/>
      <charset val="134"/>
      <scheme val="minor"/>
    </font>
    <font>
      <sz val="11"/>
      <color rgb="FF1F1F1F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1F1F1F"/>
      <name val="Arial"/>
      <charset val="134"/>
    </font>
    <font>
      <b/>
      <sz val="11"/>
      <color rgb="FF1F1F1F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0" xfId="0" applyFont="1" applyBorder="1" applyAlignment="1">
      <alignment vertical="center" wrapText="1" readingOrder="1"/>
    </xf>
    <xf numFmtId="49" fontId="0" fillId="0" borderId="0" xfId="0" applyNumberFormat="1"/>
    <xf numFmtId="58" fontId="0" fillId="0" borderId="0" xfId="0" applyNumberFormat="1"/>
    <xf numFmtId="0" fontId="2" fillId="0" borderId="0" xfId="0" applyFont="1"/>
    <xf numFmtId="1" fontId="0" fillId="0" borderId="0" xfId="0" applyNumberFormat="1"/>
    <xf numFmtId="0" fontId="3" fillId="0" borderId="0" xfId="0" applyFont="1" applyAlignment="1">
      <alignment vertical="center" readingOrder="1"/>
    </xf>
    <xf numFmtId="0" fontId="4" fillId="0" borderId="0" xfId="0" applyFont="1" applyBorder="1" applyAlignment="1">
      <alignment vertical="center" wrapText="1" readingOrder="1"/>
    </xf>
    <xf numFmtId="0" fontId="3" fillId="0" borderId="0" xfId="0" applyFont="1" applyBorder="1" applyAlignment="1">
      <alignment vertical="center" wrapText="1" readingOrder="1"/>
    </xf>
    <xf numFmtId="0" fontId="3" fillId="0" borderId="0" xfId="0" applyFont="1" applyBorder="1" applyAlignment="1">
      <alignment vertical="center" readingOrder="1"/>
    </xf>
    <xf numFmtId="0" fontId="0" fillId="0" borderId="0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tyles" Target="styles.xml"/><Relationship Id="rId17" Type="http://schemas.openxmlformats.org/officeDocument/2006/relationships/sheetMetadata" Target="metadata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/>
  </sheetPr>
  <dimension ref="A1:K24"/>
  <sheetViews>
    <sheetView workbookViewId="0">
      <selection activeCell="L1" sqref="L1"/>
    </sheetView>
  </sheetViews>
  <sheetFormatPr defaultColWidth="13.6363636363636" defaultRowHeight="14.5"/>
  <cols>
    <col min="1" max="1" width="10.8181818181818" customWidth="1"/>
    <col min="4" max="4" width="7.63636363636364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4" t="s">
        <v>9</v>
      </c>
      <c r="K1" s="4" t="s">
        <v>10</v>
      </c>
    </row>
    <row r="2" spans="1:11">
      <c r="A2">
        <v>1001</v>
      </c>
      <c r="B2" s="1" t="s">
        <v>11</v>
      </c>
      <c r="C2" s="1" t="s">
        <v>12</v>
      </c>
      <c r="D2">
        <v>30</v>
      </c>
      <c r="E2" t="s">
        <v>13</v>
      </c>
      <c r="F2" t="s">
        <v>14</v>
      </c>
      <c r="G2">
        <v>45000</v>
      </c>
      <c r="H2" s="3">
        <v>37197</v>
      </c>
      <c r="I2" s="3">
        <v>42253</v>
      </c>
      <c r="J2" s="3">
        <f>MAX(H2:H10)</f>
        <v>37933</v>
      </c>
      <c r="K2" s="3">
        <f>MIN(H2:H10)</f>
        <v>35040</v>
      </c>
    </row>
    <row r="3" spans="1:11">
      <c r="A3">
        <v>1002</v>
      </c>
      <c r="B3" s="1" t="s">
        <v>15</v>
      </c>
      <c r="C3" s="1" t="s">
        <v>16</v>
      </c>
      <c r="D3">
        <v>30</v>
      </c>
      <c r="E3" t="s">
        <v>17</v>
      </c>
      <c r="F3" t="s">
        <v>18</v>
      </c>
      <c r="G3">
        <v>36000</v>
      </c>
      <c r="H3" s="3">
        <v>36436</v>
      </c>
      <c r="I3" s="3">
        <v>42287</v>
      </c>
      <c r="J3">
        <f>MAX(G2:G10)</f>
        <v>65000</v>
      </c>
      <c r="K3">
        <f>MIN(G2:G10)</f>
        <v>36000</v>
      </c>
    </row>
    <row r="4" spans="1:11">
      <c r="A4">
        <v>1003</v>
      </c>
      <c r="B4" s="1" t="s">
        <v>19</v>
      </c>
      <c r="C4" s="1" t="s">
        <v>20</v>
      </c>
      <c r="D4">
        <v>29</v>
      </c>
      <c r="E4" t="s">
        <v>13</v>
      </c>
      <c r="F4" t="s">
        <v>14</v>
      </c>
      <c r="G4">
        <v>63000</v>
      </c>
      <c r="H4" s="3">
        <v>36711</v>
      </c>
      <c r="I4" s="3">
        <v>42986</v>
      </c>
    </row>
    <row r="5" spans="1:11">
      <c r="A5">
        <v>1004</v>
      </c>
      <c r="B5" s="1" t="s">
        <v>21</v>
      </c>
      <c r="C5" s="1" t="s">
        <v>22</v>
      </c>
      <c r="D5">
        <v>31</v>
      </c>
      <c r="E5" t="s">
        <v>17</v>
      </c>
      <c r="F5" t="s">
        <v>23</v>
      </c>
      <c r="G5">
        <v>47000</v>
      </c>
      <c r="H5" s="3">
        <v>36530</v>
      </c>
      <c r="I5" s="3">
        <v>42341</v>
      </c>
    </row>
    <row r="6" spans="1:11">
      <c r="A6">
        <v>1005</v>
      </c>
      <c r="B6" s="1" t="s">
        <v>24</v>
      </c>
      <c r="C6" s="1" t="s">
        <v>25</v>
      </c>
      <c r="D6">
        <v>32</v>
      </c>
      <c r="E6" t="s">
        <v>13</v>
      </c>
      <c r="F6" t="s">
        <v>26</v>
      </c>
      <c r="G6">
        <v>50000</v>
      </c>
      <c r="H6" s="3">
        <v>37017</v>
      </c>
      <c r="I6" s="3">
        <v>42977</v>
      </c>
    </row>
    <row r="7" spans="1:11">
      <c r="A7">
        <v>1006</v>
      </c>
      <c r="B7" s="1" t="s">
        <v>27</v>
      </c>
      <c r="C7" s="1" t="s">
        <v>28</v>
      </c>
      <c r="D7">
        <v>35</v>
      </c>
      <c r="E7" t="s">
        <v>13</v>
      </c>
      <c r="F7" t="s">
        <v>29</v>
      </c>
      <c r="G7">
        <v>65000</v>
      </c>
      <c r="H7" s="3">
        <v>35040</v>
      </c>
      <c r="I7" s="3">
        <v>41528</v>
      </c>
    </row>
    <row r="8" spans="1:11">
      <c r="A8">
        <v>1007</v>
      </c>
      <c r="B8" s="1" t="s">
        <v>30</v>
      </c>
      <c r="C8" s="1" t="s">
        <v>31</v>
      </c>
      <c r="D8">
        <v>32</v>
      </c>
      <c r="E8" t="s">
        <v>17</v>
      </c>
      <c r="F8" t="s">
        <v>32</v>
      </c>
      <c r="G8">
        <v>41000</v>
      </c>
      <c r="H8" s="3">
        <v>37933</v>
      </c>
      <c r="I8" s="3">
        <v>41551</v>
      </c>
    </row>
    <row r="9" spans="1:11">
      <c r="A9">
        <v>1008</v>
      </c>
      <c r="B9" s="1" t="s">
        <v>33</v>
      </c>
      <c r="C9" s="1" t="s">
        <v>34</v>
      </c>
      <c r="D9">
        <v>38</v>
      </c>
      <c r="E9" t="s">
        <v>13</v>
      </c>
      <c r="F9" t="s">
        <v>14</v>
      </c>
      <c r="G9">
        <v>48000</v>
      </c>
      <c r="H9" s="3">
        <v>37416</v>
      </c>
      <c r="I9" s="3">
        <v>42116</v>
      </c>
    </row>
    <row r="10" spans="1:11">
      <c r="A10">
        <v>1009</v>
      </c>
      <c r="B10" s="1" t="s">
        <v>35</v>
      </c>
      <c r="C10" s="1" t="s">
        <v>36</v>
      </c>
      <c r="D10">
        <v>31</v>
      </c>
      <c r="E10" t="s">
        <v>13</v>
      </c>
      <c r="F10" t="s">
        <v>23</v>
      </c>
      <c r="G10">
        <v>42000</v>
      </c>
      <c r="H10" s="3">
        <v>37843</v>
      </c>
      <c r="I10" s="3">
        <v>40800</v>
      </c>
    </row>
    <row r="13" spans="1:11">
      <c r="B13" s="6"/>
    </row>
    <row r="14" spans="1:11">
      <c r="B14" s="7"/>
      <c r="C14" s="7"/>
      <c r="D14" s="7"/>
    </row>
    <row r="15" spans="1:11">
      <c r="B15" s="8"/>
      <c r="C15" s="8"/>
      <c r="D15" s="8"/>
    </row>
    <row r="16" spans="1:11">
      <c r="B16" s="8"/>
      <c r="C16" s="8"/>
      <c r="D16" s="8"/>
    </row>
    <row r="17" spans="2:4">
      <c r="B17" s="8"/>
      <c r="C17" s="8"/>
      <c r="D17" s="8"/>
    </row>
    <row r="18" spans="2:4">
      <c r="B18" s="8"/>
      <c r="C18" s="8"/>
      <c r="D18" s="8"/>
    </row>
    <row r="19" spans="2:4">
      <c r="B19" s="8"/>
      <c r="C19" s="8"/>
      <c r="D19" s="8"/>
    </row>
    <row r="20" spans="2:4">
      <c r="B20" s="8"/>
      <c r="C20" s="8"/>
      <c r="D20" s="8"/>
    </row>
    <row r="21" spans="2:4">
      <c r="B21" s="8"/>
      <c r="C21" s="8"/>
      <c r="D21" s="8"/>
    </row>
    <row r="22" spans="2:4">
      <c r="B22" s="8"/>
      <c r="C22" s="8"/>
      <c r="D22" s="8"/>
    </row>
    <row r="23" spans="2:4">
      <c r="B23" s="8"/>
      <c r="C23" s="8"/>
      <c r="D23" s="8"/>
    </row>
    <row r="24" spans="2:4">
      <c r="B24" s="9"/>
      <c r="C24" s="10"/>
      <c r="D24" s="10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/>
  </sheetPr>
  <dimension ref="A1:L10"/>
  <sheetViews>
    <sheetView workbookViewId="0">
      <selection activeCell="L2" sqref="L2"/>
    </sheetView>
  </sheetViews>
  <sheetFormatPr defaultColWidth="13.6363636363636" defaultRowHeight="14.5"/>
  <cols>
    <col min="1" max="1" width="10.8181818181818" customWidth="1"/>
    <col min="4" max="4" width="7.63636363636364" customWidth="1"/>
    <col min="11" max="11" width="18.9090909090909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4" t="s">
        <v>37</v>
      </c>
      <c r="K1" s="4" t="s">
        <v>38</v>
      </c>
      <c r="L1" t="s">
        <v>39</v>
      </c>
    </row>
    <row r="2" spans="1:12">
      <c r="A2">
        <v>1001</v>
      </c>
      <c r="B2" s="1" t="s">
        <v>11</v>
      </c>
      <c r="C2" s="1" t="s">
        <v>12</v>
      </c>
      <c r="D2">
        <v>30</v>
      </c>
      <c r="E2" t="s">
        <v>13</v>
      </c>
      <c r="F2" t="s">
        <v>14</v>
      </c>
      <c r="G2">
        <v>45000</v>
      </c>
      <c r="H2" s="3">
        <v>37197</v>
      </c>
      <c r="I2" s="3">
        <v>42253</v>
      </c>
      <c r="J2" t="str" cm="1">
        <f t="array" ref="J2:J10">IF(D2:D10&gt;=30,"Old","Young")</f>
        <v>Old</v>
      </c>
      <c r="K2" t="str" cm="1">
        <f t="array" ref="K2:K10">_xlfn.IFS(G2:G10&gt;60000,"High Salary",G2:G10&gt;45000,"Average Salary",G2:G10&lt;=45000,"Low Salary")</f>
        <v>Low Salary</v>
      </c>
    </row>
    <row r="3" spans="1:12">
      <c r="A3">
        <v>1002</v>
      </c>
      <c r="B3" s="1" t="s">
        <v>15</v>
      </c>
      <c r="C3" s="1" t="s">
        <v>16</v>
      </c>
      <c r="D3">
        <v>30</v>
      </c>
      <c r="E3" t="s">
        <v>17</v>
      </c>
      <c r="F3" t="s">
        <v>18</v>
      </c>
      <c r="G3">
        <v>36000</v>
      </c>
      <c r="H3" s="3">
        <v>36436</v>
      </c>
      <c r="I3" s="3">
        <v>42287</v>
      </c>
      <c r="J3" t="str">
        <v>Old</v>
      </c>
      <c r="K3" t="str">
        <v>Low Salary</v>
      </c>
    </row>
    <row r="4" spans="1:12">
      <c r="A4">
        <v>1003</v>
      </c>
      <c r="B4" s="1" t="s">
        <v>19</v>
      </c>
      <c r="C4" s="1" t="s">
        <v>20</v>
      </c>
      <c r="D4">
        <v>29</v>
      </c>
      <c r="E4" t="s">
        <v>13</v>
      </c>
      <c r="F4" t="s">
        <v>14</v>
      </c>
      <c r="G4">
        <v>63000</v>
      </c>
      <c r="H4" s="3">
        <v>36711</v>
      </c>
      <c r="I4" s="3">
        <v>42986</v>
      </c>
      <c r="J4" t="str">
        <v>Young</v>
      </c>
      <c r="K4" t="str">
        <v>High Salary</v>
      </c>
    </row>
    <row r="5" spans="1:12">
      <c r="A5">
        <v>1004</v>
      </c>
      <c r="B5" s="1" t="s">
        <v>21</v>
      </c>
      <c r="C5" s="1" t="s">
        <v>22</v>
      </c>
      <c r="D5">
        <v>31</v>
      </c>
      <c r="E5" t="s">
        <v>17</v>
      </c>
      <c r="F5" t="s">
        <v>23</v>
      </c>
      <c r="G5">
        <v>47000</v>
      </c>
      <c r="H5" s="3">
        <v>36530</v>
      </c>
      <c r="I5" s="3">
        <v>42341</v>
      </c>
      <c r="J5" t="str">
        <v>Old</v>
      </c>
      <c r="K5" t="str">
        <v>Average Salary</v>
      </c>
    </row>
    <row r="6" spans="1:12">
      <c r="A6">
        <v>1005</v>
      </c>
      <c r="B6" s="1" t="s">
        <v>24</v>
      </c>
      <c r="C6" s="1" t="s">
        <v>25</v>
      </c>
      <c r="D6">
        <v>32</v>
      </c>
      <c r="E6" t="s">
        <v>13</v>
      </c>
      <c r="F6" t="s">
        <v>26</v>
      </c>
      <c r="G6">
        <v>50000</v>
      </c>
      <c r="H6" s="3">
        <v>37017</v>
      </c>
      <c r="I6" s="3">
        <v>42977</v>
      </c>
      <c r="J6" t="str">
        <v>Old</v>
      </c>
      <c r="K6" t="str">
        <v>Average Salary</v>
      </c>
    </row>
    <row r="7" spans="1:12">
      <c r="A7">
        <v>1006</v>
      </c>
      <c r="B7" s="1" t="s">
        <v>27</v>
      </c>
      <c r="C7" s="1" t="s">
        <v>28</v>
      </c>
      <c r="D7">
        <v>35</v>
      </c>
      <c r="E7" t="s">
        <v>13</v>
      </c>
      <c r="F7" t="s">
        <v>29</v>
      </c>
      <c r="G7">
        <v>65000</v>
      </c>
      <c r="H7" s="3">
        <v>35040</v>
      </c>
      <c r="I7" s="3">
        <v>41528</v>
      </c>
      <c r="J7" t="str">
        <v>Old</v>
      </c>
      <c r="K7" t="str">
        <v>High Salary</v>
      </c>
    </row>
    <row r="8" spans="1:12">
      <c r="A8">
        <v>1007</v>
      </c>
      <c r="B8" s="1" t="s">
        <v>30</v>
      </c>
      <c r="C8" s="1" t="s">
        <v>31</v>
      </c>
      <c r="D8">
        <v>32</v>
      </c>
      <c r="E8" t="s">
        <v>17</v>
      </c>
      <c r="F8" t="s">
        <v>32</v>
      </c>
      <c r="G8">
        <v>41000</v>
      </c>
      <c r="H8" s="3">
        <v>37933</v>
      </c>
      <c r="I8" s="3">
        <v>41551</v>
      </c>
      <c r="J8" t="str">
        <v>Old</v>
      </c>
      <c r="K8" t="str">
        <v>Low Salary</v>
      </c>
    </row>
    <row r="9" spans="1:12">
      <c r="A9">
        <v>1008</v>
      </c>
      <c r="B9" s="1" t="s">
        <v>33</v>
      </c>
      <c r="C9" s="1" t="s">
        <v>34</v>
      </c>
      <c r="D9">
        <v>38</v>
      </c>
      <c r="E9" t="s">
        <v>13</v>
      </c>
      <c r="F9" t="s">
        <v>14</v>
      </c>
      <c r="G9">
        <v>48000</v>
      </c>
      <c r="H9" s="3">
        <v>37416</v>
      </c>
      <c r="I9" s="3">
        <v>42116</v>
      </c>
      <c r="J9" t="str">
        <v>Old</v>
      </c>
      <c r="K9" t="str">
        <v>Average Salary</v>
      </c>
    </row>
    <row r="10" spans="1:12">
      <c r="A10">
        <v>1009</v>
      </c>
      <c r="B10" s="1" t="s">
        <v>35</v>
      </c>
      <c r="C10" s="1" t="s">
        <v>36</v>
      </c>
      <c r="D10">
        <v>31</v>
      </c>
      <c r="E10" t="s">
        <v>13</v>
      </c>
      <c r="F10" t="s">
        <v>23</v>
      </c>
      <c r="G10">
        <v>42000</v>
      </c>
      <c r="H10" s="3">
        <v>37843</v>
      </c>
      <c r="I10" s="3">
        <v>40800</v>
      </c>
      <c r="J10" t="str">
        <v>Old</v>
      </c>
      <c r="K10" t="str">
        <v>Low Salary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/>
  </sheetPr>
  <dimension ref="A1:N10"/>
  <sheetViews>
    <sheetView workbookViewId="0">
      <selection activeCell="M2" sqref="M2"/>
    </sheetView>
  </sheetViews>
  <sheetFormatPr defaultColWidth="10.9090909090909" defaultRowHeight="14.5"/>
  <cols>
    <col min="1" max="1" width="10.8181818181818" customWidth="1"/>
    <col min="2" max="2" width="12.2727272727273" customWidth="1"/>
    <col min="10" max="10" width="24.7272727272727" customWidth="1"/>
    <col min="11" max="11" width="13.6363636363636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40</v>
      </c>
      <c r="K1" s="4" t="s">
        <v>41</v>
      </c>
      <c r="L1" s="4" t="s">
        <v>42</v>
      </c>
      <c r="N1" t="s">
        <v>43</v>
      </c>
    </row>
    <row r="2" ht="15" customHeight="1" spans="1:14">
      <c r="A2">
        <v>1001</v>
      </c>
      <c r="B2" s="1" t="s">
        <v>11</v>
      </c>
      <c r="C2" s="1" t="s">
        <v>12</v>
      </c>
      <c r="D2">
        <v>30</v>
      </c>
      <c r="E2" t="s">
        <v>13</v>
      </c>
      <c r="F2" t="s">
        <v>14</v>
      </c>
      <c r="G2">
        <v>45000</v>
      </c>
      <c r="H2" s="3">
        <v>37197</v>
      </c>
      <c r="I2" s="3">
        <v>42253</v>
      </c>
      <c r="J2" s="5">
        <v>313578901</v>
      </c>
      <c r="K2" cm="1">
        <f t="array" ref="K2:K10">LEN(J2:J10)</f>
        <v>9</v>
      </c>
      <c r="L2" cm="1">
        <f t="array" ref="L2:L10">LEN(C2:C10)</f>
        <v>3</v>
      </c>
    </row>
    <row r="3" spans="1:14">
      <c r="A3">
        <v>1002</v>
      </c>
      <c r="B3" s="1" t="s">
        <v>15</v>
      </c>
      <c r="C3" s="1" t="s">
        <v>16</v>
      </c>
      <c r="D3">
        <v>30</v>
      </c>
      <c r="E3" t="s">
        <v>17</v>
      </c>
      <c r="F3" t="s">
        <v>18</v>
      </c>
      <c r="G3">
        <v>36000</v>
      </c>
      <c r="H3" s="3">
        <v>36436</v>
      </c>
      <c r="I3" s="3">
        <v>42287</v>
      </c>
      <c r="J3" s="5">
        <v>3135789012</v>
      </c>
      <c r="K3">
        <v>10</v>
      </c>
      <c r="L3">
        <v>4</v>
      </c>
    </row>
    <row r="4" spans="1:14">
      <c r="A4">
        <v>1003</v>
      </c>
      <c r="B4" s="1" t="s">
        <v>19</v>
      </c>
      <c r="C4" s="1" t="s">
        <v>20</v>
      </c>
      <c r="D4">
        <v>29</v>
      </c>
      <c r="E4" t="s">
        <v>13</v>
      </c>
      <c r="F4" t="s">
        <v>14</v>
      </c>
      <c r="G4">
        <v>63000</v>
      </c>
      <c r="H4" s="3">
        <v>36711</v>
      </c>
      <c r="I4" s="3">
        <v>42986</v>
      </c>
      <c r="J4" s="5">
        <v>3135789032</v>
      </c>
      <c r="K4">
        <v>10</v>
      </c>
      <c r="L4">
        <v>5</v>
      </c>
    </row>
    <row r="5" spans="1:14">
      <c r="A5">
        <v>1004</v>
      </c>
      <c r="B5" s="1" t="s">
        <v>21</v>
      </c>
      <c r="C5" s="1" t="s">
        <v>22</v>
      </c>
      <c r="D5">
        <v>31</v>
      </c>
      <c r="E5" t="s">
        <v>17</v>
      </c>
      <c r="F5" t="s">
        <v>23</v>
      </c>
      <c r="G5">
        <v>47000</v>
      </c>
      <c r="H5" s="3">
        <v>36530</v>
      </c>
      <c r="I5" s="3">
        <v>42341</v>
      </c>
      <c r="J5" s="5">
        <v>3135789043</v>
      </c>
      <c r="K5">
        <v>10</v>
      </c>
      <c r="L5">
        <v>4</v>
      </c>
    </row>
    <row r="6" spans="1:14">
      <c r="A6">
        <v>1005</v>
      </c>
      <c r="B6" s="1" t="s">
        <v>24</v>
      </c>
      <c r="C6" s="1" t="s">
        <v>25</v>
      </c>
      <c r="D6">
        <v>32</v>
      </c>
      <c r="E6" t="s">
        <v>13</v>
      </c>
      <c r="F6" t="s">
        <v>26</v>
      </c>
      <c r="G6">
        <v>50000</v>
      </c>
      <c r="H6" s="3">
        <v>37017</v>
      </c>
      <c r="I6" s="3">
        <v>42977</v>
      </c>
      <c r="J6" s="5">
        <v>31357890543</v>
      </c>
      <c r="K6">
        <v>11</v>
      </c>
      <c r="L6">
        <v>8</v>
      </c>
    </row>
    <row r="7" spans="1:14">
      <c r="A7">
        <v>1006</v>
      </c>
      <c r="B7" s="1" t="s">
        <v>27</v>
      </c>
      <c r="C7" s="1" t="s">
        <v>28</v>
      </c>
      <c r="D7">
        <v>35</v>
      </c>
      <c r="E7" t="s">
        <v>13</v>
      </c>
      <c r="F7" t="s">
        <v>29</v>
      </c>
      <c r="G7">
        <v>65000</v>
      </c>
      <c r="H7" s="3">
        <v>35040</v>
      </c>
      <c r="I7" s="3">
        <v>41528</v>
      </c>
      <c r="J7" s="5">
        <v>3135789065</v>
      </c>
      <c r="K7">
        <v>10</v>
      </c>
      <c r="L7">
        <v>5</v>
      </c>
    </row>
    <row r="8" spans="1:14">
      <c r="A8">
        <v>1007</v>
      </c>
      <c r="B8" s="1" t="s">
        <v>30</v>
      </c>
      <c r="C8" s="1" t="s">
        <v>31</v>
      </c>
      <c r="D8">
        <v>32</v>
      </c>
      <c r="E8" t="s">
        <v>17</v>
      </c>
      <c r="F8" t="s">
        <v>32</v>
      </c>
      <c r="G8">
        <v>41000</v>
      </c>
      <c r="H8" s="3">
        <v>37933</v>
      </c>
      <c r="I8" s="3">
        <v>41551</v>
      </c>
      <c r="J8" s="5">
        <v>3135789072</v>
      </c>
      <c r="K8">
        <v>10</v>
      </c>
      <c r="L8">
        <v>5</v>
      </c>
    </row>
    <row r="9" spans="1:14">
      <c r="A9">
        <v>1008</v>
      </c>
      <c r="B9" s="1" t="s">
        <v>33</v>
      </c>
      <c r="C9" s="1" t="s">
        <v>34</v>
      </c>
      <c r="D9">
        <v>38</v>
      </c>
      <c r="E9" t="s">
        <v>13</v>
      </c>
      <c r="F9" t="s">
        <v>14</v>
      </c>
      <c r="G9">
        <v>48000</v>
      </c>
      <c r="H9" s="3">
        <v>37416</v>
      </c>
      <c r="I9" s="3">
        <v>42116</v>
      </c>
      <c r="J9" s="5">
        <v>3135789083</v>
      </c>
      <c r="K9">
        <v>10</v>
      </c>
      <c r="L9">
        <v>5</v>
      </c>
    </row>
    <row r="10" spans="1:14">
      <c r="A10">
        <v>1009</v>
      </c>
      <c r="B10" s="1" t="s">
        <v>35</v>
      </c>
      <c r="C10" s="1" t="s">
        <v>36</v>
      </c>
      <c r="D10">
        <v>31</v>
      </c>
      <c r="E10" t="s">
        <v>13</v>
      </c>
      <c r="F10" t="s">
        <v>23</v>
      </c>
      <c r="G10">
        <v>42000</v>
      </c>
      <c r="H10" s="3">
        <v>37843</v>
      </c>
      <c r="I10" s="3">
        <v>40800</v>
      </c>
      <c r="J10" s="5">
        <v>3135789093</v>
      </c>
      <c r="K10">
        <v>10</v>
      </c>
      <c r="L10">
        <v>7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/>
  </sheetPr>
  <dimension ref="A1:N18"/>
  <sheetViews>
    <sheetView workbookViewId="0">
      <selection activeCell="I13" sqref="I13"/>
    </sheetView>
  </sheetViews>
  <sheetFormatPr defaultColWidth="14.5454545454545" defaultRowHeight="14.5"/>
  <cols>
    <col min="2" max="2" width="12.8181818181818" customWidth="1"/>
    <col min="3" max="3" width="22" customWidth="1"/>
    <col min="4" max="4" width="8" customWidth="1"/>
    <col min="10" max="10" width="40.8181818181818" customWidth="1"/>
    <col min="11" max="11" width="9.45454545454546" customWidth="1"/>
  </cols>
  <sheetData>
    <row r="1" spans="1:14">
      <c r="A1" t="s">
        <v>44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45</v>
      </c>
      <c r="K1" t="s">
        <v>46</v>
      </c>
      <c r="L1" t="s">
        <v>46</v>
      </c>
      <c r="M1" t="s">
        <v>47</v>
      </c>
      <c r="N1" t="s">
        <v>47</v>
      </c>
    </row>
    <row r="2" spans="1:14">
      <c r="A2">
        <v>1001</v>
      </c>
      <c r="B2" s="1" t="s">
        <v>11</v>
      </c>
      <c r="C2" s="1" t="s">
        <v>12</v>
      </c>
      <c r="D2">
        <v>30</v>
      </c>
      <c r="E2" t="s">
        <v>13</v>
      </c>
      <c r="F2" t="s">
        <v>14</v>
      </c>
      <c r="G2">
        <v>45000</v>
      </c>
      <c r="H2" s="2" t="s">
        <v>48</v>
      </c>
      <c r="I2" s="2" t="s">
        <v>49</v>
      </c>
      <c r="J2" s="3" t="str">
        <f>_xlfn.CONCAT(B2,".",C2,"@gmail.com")</f>
        <v>Muhammad.Ali@gmail.com</v>
      </c>
      <c r="K2" s="3" t="str" cm="1">
        <f t="array" ref="K2:K10">LEFT(B2:B10,3)</f>
        <v>Muh</v>
      </c>
      <c r="L2" t="str" cm="1">
        <f t="array" ref="L2:L10">LEFT(J2:J10,FIND("@",J2:J10,1)-1)</f>
        <v>Muhammad.Ali</v>
      </c>
      <c r="M2" t="str" cm="1">
        <f t="array" ref="M2:M10">RIGHT(A2:A10,1)</f>
        <v>1</v>
      </c>
      <c r="N2" t="str" cm="1">
        <f t="array" ref="N2:N10">RIGHT(I2:I10,4)</f>
        <v>2015</v>
      </c>
    </row>
    <row r="3" spans="1:14">
      <c r="A3">
        <v>1002</v>
      </c>
      <c r="B3" s="1" t="s">
        <v>15</v>
      </c>
      <c r="C3" s="1" t="s">
        <v>16</v>
      </c>
      <c r="D3">
        <v>30</v>
      </c>
      <c r="E3" t="s">
        <v>17</v>
      </c>
      <c r="F3" t="s">
        <v>18</v>
      </c>
      <c r="G3">
        <v>36000</v>
      </c>
      <c r="H3" s="2" t="s">
        <v>50</v>
      </c>
      <c r="I3" s="2" t="s">
        <v>51</v>
      </c>
      <c r="J3" s="3" t="str">
        <f t="shared" ref="J3:J10" si="0">_xlfn.CONCAT(B3,".",C3,"@gmail.com")</f>
        <v>Ayesha.Khan@gmail.com</v>
      </c>
      <c r="K3" s="3" t="str">
        <v>Aye</v>
      </c>
      <c r="L3" t="str">
        <v>Ayesha.Khan</v>
      </c>
      <c r="M3" t="str">
        <v>2</v>
      </c>
      <c r="N3" t="str">
        <v>2015</v>
      </c>
    </row>
    <row r="4" spans="1:14">
      <c r="A4">
        <v>1003</v>
      </c>
      <c r="B4" s="1" t="s">
        <v>19</v>
      </c>
      <c r="C4" s="1" t="s">
        <v>20</v>
      </c>
      <c r="D4">
        <v>29</v>
      </c>
      <c r="E4" t="s">
        <v>13</v>
      </c>
      <c r="F4" t="s">
        <v>14</v>
      </c>
      <c r="G4">
        <v>63000</v>
      </c>
      <c r="H4" s="2" t="s">
        <v>52</v>
      </c>
      <c r="I4" s="2" t="s">
        <v>53</v>
      </c>
      <c r="J4" s="3" t="str">
        <f t="shared" si="0"/>
        <v>Shahzad.Ahmed@gmail.com</v>
      </c>
      <c r="K4" s="3" t="str">
        <v>Sha</v>
      </c>
      <c r="L4" t="str">
        <v>Shahzad.Ahmed</v>
      </c>
      <c r="M4" t="str">
        <v>3</v>
      </c>
      <c r="N4" t="str">
        <v>2017</v>
      </c>
    </row>
    <row r="5" spans="1:14">
      <c r="A5">
        <v>1004</v>
      </c>
      <c r="B5" s="1" t="s">
        <v>21</v>
      </c>
      <c r="C5" s="1" t="s">
        <v>22</v>
      </c>
      <c r="D5">
        <v>31</v>
      </c>
      <c r="E5" t="s">
        <v>17</v>
      </c>
      <c r="F5" t="s">
        <v>23</v>
      </c>
      <c r="G5">
        <v>47000</v>
      </c>
      <c r="H5" s="2" t="s">
        <v>54</v>
      </c>
      <c r="I5" s="2" t="s">
        <v>55</v>
      </c>
      <c r="J5" s="3" t="str">
        <f t="shared" si="0"/>
        <v>Fatima.Sana@gmail.com</v>
      </c>
      <c r="K5" s="3" t="str">
        <v>Fat</v>
      </c>
      <c r="L5" t="str">
        <v>Fatima.Sana</v>
      </c>
      <c r="M5" t="str">
        <v>4</v>
      </c>
      <c r="N5" t="str">
        <v>2015</v>
      </c>
    </row>
    <row r="6" spans="1:14">
      <c r="A6">
        <v>1005</v>
      </c>
      <c r="B6" s="1" t="s">
        <v>24</v>
      </c>
      <c r="C6" s="1" t="s">
        <v>25</v>
      </c>
      <c r="D6">
        <v>32</v>
      </c>
      <c r="E6" t="s">
        <v>13</v>
      </c>
      <c r="F6" t="s">
        <v>26</v>
      </c>
      <c r="G6">
        <v>50000</v>
      </c>
      <c r="H6" s="2" t="s">
        <v>56</v>
      </c>
      <c r="I6" s="2" t="s">
        <v>57</v>
      </c>
      <c r="J6" s="3" t="str">
        <f t="shared" si="0"/>
        <v>Bilal.Siddiqui@gmail.com</v>
      </c>
      <c r="K6" s="3" t="str">
        <v>Bil</v>
      </c>
      <c r="L6" t="str">
        <v>Bilal.Siddiqui</v>
      </c>
      <c r="M6" t="str">
        <v>5</v>
      </c>
      <c r="N6" t="str">
        <v>2017</v>
      </c>
    </row>
    <row r="7" spans="1:14">
      <c r="A7">
        <v>1006</v>
      </c>
      <c r="B7" s="1" t="s">
        <v>27</v>
      </c>
      <c r="C7" s="1" t="s">
        <v>28</v>
      </c>
      <c r="D7">
        <v>35</v>
      </c>
      <c r="E7" t="s">
        <v>13</v>
      </c>
      <c r="F7" t="s">
        <v>29</v>
      </c>
      <c r="G7">
        <v>65000</v>
      </c>
      <c r="H7" s="2" t="s">
        <v>56</v>
      </c>
      <c r="I7" s="2" t="s">
        <v>58</v>
      </c>
      <c r="J7" s="3" t="str">
        <f t="shared" si="0"/>
        <v>Zain.Faraz@gmail.com</v>
      </c>
      <c r="K7" s="3" t="str">
        <v>Zai</v>
      </c>
      <c r="L7" t="str">
        <v>Zain.Faraz</v>
      </c>
      <c r="M7" t="str">
        <v>6</v>
      </c>
      <c r="N7" t="str">
        <v>2013</v>
      </c>
    </row>
    <row r="8" spans="1:14">
      <c r="A8">
        <v>1007</v>
      </c>
      <c r="B8" s="1" t="s">
        <v>30</v>
      </c>
      <c r="C8" s="1" t="s">
        <v>31</v>
      </c>
      <c r="D8">
        <v>32</v>
      </c>
      <c r="E8" t="s">
        <v>17</v>
      </c>
      <c r="F8" t="s">
        <v>32</v>
      </c>
      <c r="G8">
        <v>41000</v>
      </c>
      <c r="H8" s="2" t="s">
        <v>59</v>
      </c>
      <c r="I8" s="2" t="s">
        <v>58</v>
      </c>
      <c r="J8" s="3" t="str">
        <f t="shared" si="0"/>
        <v>Maryam.Nawaz@gmail.com</v>
      </c>
      <c r="K8" s="3" t="str">
        <v>Mar</v>
      </c>
      <c r="L8" t="str">
        <v>Maryam.Nawaz</v>
      </c>
      <c r="M8" t="str">
        <v>7</v>
      </c>
      <c r="N8" t="str">
        <v>2013</v>
      </c>
    </row>
    <row r="9" spans="1:14">
      <c r="A9">
        <v>1008</v>
      </c>
      <c r="B9" s="1" t="s">
        <v>33</v>
      </c>
      <c r="C9" s="1" t="s">
        <v>34</v>
      </c>
      <c r="D9">
        <v>38</v>
      </c>
      <c r="E9" t="s">
        <v>13</v>
      </c>
      <c r="F9" t="s">
        <v>14</v>
      </c>
      <c r="G9">
        <v>48000</v>
      </c>
      <c r="H9" s="2" t="s">
        <v>60</v>
      </c>
      <c r="I9" s="2" t="s">
        <v>61</v>
      </c>
      <c r="J9" s="3" t="str">
        <f t="shared" si="0"/>
        <v>Kamran.Akmal@gmail.com</v>
      </c>
      <c r="K9" s="3" t="str">
        <v>Kam</v>
      </c>
      <c r="L9" t="str">
        <v>Kamran.Akmal</v>
      </c>
      <c r="M9" t="str">
        <v>8</v>
      </c>
      <c r="N9" t="str">
        <v>2015</v>
      </c>
    </row>
    <row r="10" spans="1:14">
      <c r="A10">
        <v>1009</v>
      </c>
      <c r="B10" s="1" t="s">
        <v>35</v>
      </c>
      <c r="C10" s="1" t="s">
        <v>36</v>
      </c>
      <c r="D10">
        <v>31</v>
      </c>
      <c r="E10" t="s">
        <v>13</v>
      </c>
      <c r="F10" t="s">
        <v>23</v>
      </c>
      <c r="G10">
        <v>42000</v>
      </c>
      <c r="H10" s="2" t="s">
        <v>62</v>
      </c>
      <c r="I10" s="2" t="s">
        <v>61</v>
      </c>
      <c r="J10" s="3" t="str">
        <f t="shared" si="0"/>
        <v>Faisal.Qureshi@gmail.com</v>
      </c>
      <c r="K10" s="3" t="str">
        <v>Fai</v>
      </c>
      <c r="L10" t="str">
        <v>Faisal.Qureshi</v>
      </c>
      <c r="M10" t="str">
        <v>9</v>
      </c>
      <c r="N10" t="str">
        <v>2015</v>
      </c>
    </row>
    <row r="12" spans="1:14">
      <c r="D12" s="4" t="s">
        <v>63</v>
      </c>
      <c r="E12" s="4" t="s">
        <v>64</v>
      </c>
      <c r="F12" s="4" t="s">
        <v>65</v>
      </c>
    </row>
    <row r="13" spans="1:14">
      <c r="C13" t="s">
        <v>66</v>
      </c>
      <c r="D13" t="str">
        <f>LEFT(C13,FIND(" ",C13,1)-1)</f>
        <v>Muhammad</v>
      </c>
      <c r="E13" t="str">
        <f>MID(C13,FIND(" ",C13)+1,FIND(" ",C13,FIND(" ",C13)+1)-FIND(" ",C13)-1)</f>
        <v>Ahmed</v>
      </c>
      <c r="F13" t="str">
        <f>RIGHT(C13,LEN(C13)-FIND(" ",C13,FIND(" ",C13,1)+1))</f>
        <v>Khan</v>
      </c>
    </row>
    <row r="14" spans="1:14">
      <c r="C14" t="s">
        <v>67</v>
      </c>
      <c r="D14" t="str">
        <f t="shared" ref="D14:D18" si="1">LEFT(C14,FIND(" ",C14,1)-1)</f>
        <v>Ali</v>
      </c>
      <c r="E14" t="str">
        <f t="shared" ref="E14:E18" si="2">MID(C14,FIND(" ",C14)+1,FIND(" ",C14,FIND(" ",C14)+1)-FIND(" ",C14)-1)</f>
        <v>Hassan</v>
      </c>
      <c r="F14" t="str">
        <f t="shared" ref="F14:F18" si="3">RIGHT(C14,LEN(C14)-FIND(" ",C14,FIND(" ",C14,1)+1))</f>
        <v>Raza</v>
      </c>
    </row>
    <row r="15" spans="1:14">
      <c r="C15" t="s">
        <v>68</v>
      </c>
      <c r="D15" t="str">
        <f t="shared" si="1"/>
        <v>Umar</v>
      </c>
      <c r="E15" t="str">
        <f t="shared" si="2"/>
        <v>Farooq</v>
      </c>
      <c r="F15" t="str">
        <f t="shared" si="3"/>
        <v>Malik</v>
      </c>
    </row>
    <row r="16" spans="1:14">
      <c r="C16" t="s">
        <v>69</v>
      </c>
      <c r="D16" t="str">
        <f t="shared" si="1"/>
        <v>Ayesha</v>
      </c>
      <c r="E16" t="str">
        <f t="shared" si="2"/>
        <v>Noor</v>
      </c>
      <c r="F16" t="str">
        <f t="shared" si="3"/>
        <v>Fatima</v>
      </c>
    </row>
    <row r="17" spans="3:6">
      <c r="C17" t="s">
        <v>70</v>
      </c>
      <c r="D17" t="str">
        <f t="shared" si="1"/>
        <v>Zainab</v>
      </c>
      <c r="E17" t="str">
        <f t="shared" si="2"/>
        <v>Ali</v>
      </c>
      <c r="F17" t="str">
        <f t="shared" si="3"/>
        <v>Khan</v>
      </c>
    </row>
    <row r="18" spans="3:6">
      <c r="C18" t="s">
        <v>71</v>
      </c>
      <c r="D18" t="str">
        <f t="shared" si="1"/>
        <v>Maryam</v>
      </c>
      <c r="E18" t="str">
        <f t="shared" si="2"/>
        <v>Iqbal</v>
      </c>
      <c r="F18" t="str">
        <f t="shared" si="3"/>
        <v>Sheikh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/>
  </sheetPr>
  <dimension ref="A1:M13"/>
  <sheetViews>
    <sheetView workbookViewId="0">
      <selection activeCell="J1" sqref="J1"/>
    </sheetView>
  </sheetViews>
  <sheetFormatPr defaultColWidth="13.6363636363636" defaultRowHeight="14.5"/>
  <cols>
    <col min="1" max="1" width="10.8181818181818" customWidth="1"/>
    <col min="4" max="4" width="7.63636363636364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4" t="s">
        <v>72</v>
      </c>
    </row>
    <row r="2" spans="1:13">
      <c r="A2">
        <v>1001</v>
      </c>
      <c r="B2" s="1" t="s">
        <v>11</v>
      </c>
      <c r="C2" s="1" t="s">
        <v>12</v>
      </c>
      <c r="D2">
        <v>30</v>
      </c>
      <c r="E2" t="s">
        <v>13</v>
      </c>
      <c r="F2" t="s">
        <v>14</v>
      </c>
      <c r="G2">
        <v>45000</v>
      </c>
      <c r="H2" s="3">
        <v>37197</v>
      </c>
      <c r="I2" s="3">
        <v>42253</v>
      </c>
      <c r="J2" t="str" cm="1">
        <f t="array" ref="J2:J10">TEXT(H2:H10,"dd/mm/yyyy")</f>
        <v>02/11/2001</v>
      </c>
      <c r="K2" s="2"/>
      <c r="L2" t="str" cm="1">
        <f t="array" ref="L2:L10">TEXT(J2:J10,"dd/mm/yyyy")</f>
        <v>11/02/2001</v>
      </c>
      <c r="M2" t="str" cm="1">
        <f t="array" ref="M2:M10">RIGHT(_xlfn.ANCHORARRAY(L2),4)</f>
        <v>2001</v>
      </c>
    </row>
    <row r="3" spans="1:13">
      <c r="A3">
        <v>1002</v>
      </c>
      <c r="B3" s="1" t="s">
        <v>15</v>
      </c>
      <c r="C3" s="1" t="s">
        <v>16</v>
      </c>
      <c r="D3">
        <v>30</v>
      </c>
      <c r="E3" t="s">
        <v>17</v>
      </c>
      <c r="F3" t="s">
        <v>18</v>
      </c>
      <c r="G3">
        <v>36000</v>
      </c>
      <c r="H3" s="3">
        <v>36436</v>
      </c>
      <c r="I3" s="3">
        <v>42287</v>
      </c>
      <c r="J3" t="str">
        <v>03/10/1999</v>
      </c>
      <c r="K3" s="2"/>
      <c r="L3" t="str">
        <v>10/03/1999</v>
      </c>
      <c r="M3" t="str">
        <v>1999</v>
      </c>
    </row>
    <row r="4" spans="1:13">
      <c r="A4">
        <v>1003</v>
      </c>
      <c r="B4" s="1" t="s">
        <v>19</v>
      </c>
      <c r="C4" s="1" t="s">
        <v>20</v>
      </c>
      <c r="D4">
        <v>29</v>
      </c>
      <c r="E4" t="s">
        <v>13</v>
      </c>
      <c r="F4" t="s">
        <v>14</v>
      </c>
      <c r="G4">
        <v>63000</v>
      </c>
      <c r="H4" s="3">
        <v>36711</v>
      </c>
      <c r="I4" s="3">
        <v>42986</v>
      </c>
      <c r="J4" t="str">
        <v>04/07/2000</v>
      </c>
      <c r="K4" s="2"/>
      <c r="L4" t="str">
        <v>07/04/2000</v>
      </c>
      <c r="M4" t="str">
        <v>2000</v>
      </c>
    </row>
    <row r="5" spans="1:13">
      <c r="A5">
        <v>1004</v>
      </c>
      <c r="B5" s="1" t="s">
        <v>21</v>
      </c>
      <c r="C5" s="1" t="s">
        <v>22</v>
      </c>
      <c r="D5">
        <v>31</v>
      </c>
      <c r="E5" t="s">
        <v>17</v>
      </c>
      <c r="F5" t="s">
        <v>23</v>
      </c>
      <c r="G5">
        <v>47000</v>
      </c>
      <c r="H5" s="3">
        <v>36530</v>
      </c>
      <c r="I5" s="3">
        <v>42341</v>
      </c>
      <c r="J5" t="str">
        <v>05/01/2000</v>
      </c>
      <c r="K5" s="2"/>
      <c r="L5" t="str">
        <v>01/05/2000</v>
      </c>
      <c r="M5" t="str">
        <v>2000</v>
      </c>
    </row>
    <row r="6" spans="1:13">
      <c r="A6">
        <v>1005</v>
      </c>
      <c r="B6" s="1" t="s">
        <v>24</v>
      </c>
      <c r="C6" s="1" t="s">
        <v>25</v>
      </c>
      <c r="D6">
        <v>32</v>
      </c>
      <c r="E6" t="s">
        <v>13</v>
      </c>
      <c r="F6" t="s">
        <v>26</v>
      </c>
      <c r="G6">
        <v>50000</v>
      </c>
      <c r="H6" s="3">
        <v>37017</v>
      </c>
      <c r="I6" s="3">
        <v>42977</v>
      </c>
      <c r="J6" t="str">
        <v>06/05/2001</v>
      </c>
      <c r="K6" s="2"/>
      <c r="L6" t="str">
        <v>05/06/2001</v>
      </c>
      <c r="M6" t="str">
        <v>2001</v>
      </c>
    </row>
    <row r="7" spans="1:13">
      <c r="A7">
        <v>1006</v>
      </c>
      <c r="B7" s="1" t="s">
        <v>27</v>
      </c>
      <c r="C7" s="1" t="s">
        <v>28</v>
      </c>
      <c r="D7">
        <v>35</v>
      </c>
      <c r="E7" t="s">
        <v>13</v>
      </c>
      <c r="F7" t="s">
        <v>29</v>
      </c>
      <c r="G7">
        <v>65000</v>
      </c>
      <c r="H7" s="3">
        <v>35040</v>
      </c>
      <c r="I7" s="3">
        <v>41528</v>
      </c>
      <c r="J7" t="str">
        <v>07/12/1995</v>
      </c>
      <c r="K7" s="2"/>
      <c r="L7" t="str">
        <v>12/07/1995</v>
      </c>
      <c r="M7" t="str">
        <v>1995</v>
      </c>
    </row>
    <row r="8" spans="1:13">
      <c r="A8">
        <v>1007</v>
      </c>
      <c r="B8" s="1" t="s">
        <v>30</v>
      </c>
      <c r="C8" s="1" t="s">
        <v>31</v>
      </c>
      <c r="D8">
        <v>32</v>
      </c>
      <c r="E8" t="s">
        <v>17</v>
      </c>
      <c r="F8" t="s">
        <v>32</v>
      </c>
      <c r="G8">
        <v>41000</v>
      </c>
      <c r="H8" s="3">
        <v>37933</v>
      </c>
      <c r="I8" s="3">
        <v>41551</v>
      </c>
      <c r="J8" t="str">
        <v>08/11/2003</v>
      </c>
      <c r="K8" s="2"/>
      <c r="L8" t="str">
        <v>11/08/2003</v>
      </c>
      <c r="M8" t="str">
        <v>2003</v>
      </c>
    </row>
    <row r="9" spans="1:13">
      <c r="A9">
        <v>1008</v>
      </c>
      <c r="B9" s="1" t="s">
        <v>33</v>
      </c>
      <c r="C9" s="1" t="s">
        <v>34</v>
      </c>
      <c r="D9">
        <v>38</v>
      </c>
      <c r="E9" t="s">
        <v>13</v>
      </c>
      <c r="F9" t="s">
        <v>14</v>
      </c>
      <c r="G9">
        <v>48000</v>
      </c>
      <c r="H9" s="3">
        <v>37416</v>
      </c>
      <c r="I9" s="3">
        <v>42116</v>
      </c>
      <c r="J9" t="str">
        <v>09/06/2002</v>
      </c>
      <c r="K9" s="2"/>
      <c r="L9" t="str">
        <v>06/09/2002</v>
      </c>
      <c r="M9" t="str">
        <v>2002</v>
      </c>
    </row>
    <row r="10" spans="1:13">
      <c r="A10">
        <v>1009</v>
      </c>
      <c r="B10" s="1" t="s">
        <v>35</v>
      </c>
      <c r="C10" s="1" t="s">
        <v>36</v>
      </c>
      <c r="D10">
        <v>31</v>
      </c>
      <c r="E10" t="s">
        <v>13</v>
      </c>
      <c r="F10" t="s">
        <v>23</v>
      </c>
      <c r="G10">
        <v>42000</v>
      </c>
      <c r="H10" s="3">
        <v>37843</v>
      </c>
      <c r="I10" s="3">
        <v>40800</v>
      </c>
      <c r="J10" t="str">
        <v>10/08/2003</v>
      </c>
      <c r="K10" s="2"/>
      <c r="L10" t="str">
        <v>08/10/2003</v>
      </c>
      <c r="M10" t="str">
        <v>2003</v>
      </c>
    </row>
    <row r="12" spans="1:13">
      <c r="H12" s="3"/>
    </row>
    <row r="13" spans="1:13">
      <c r="H13" s="2"/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/>
  </sheetPr>
  <dimension ref="A1:K10"/>
  <sheetViews>
    <sheetView workbookViewId="0">
      <selection activeCell="J1" sqref="J1"/>
    </sheetView>
  </sheetViews>
  <sheetFormatPr defaultColWidth="13.6363636363636" defaultRowHeight="14.5"/>
  <cols>
    <col min="1" max="1" width="10.8181818181818" customWidth="1"/>
    <col min="4" max="4" width="7.63636363636364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4" t="s">
        <v>73</v>
      </c>
      <c r="K1" t="s">
        <v>74</v>
      </c>
    </row>
    <row r="2" spans="1:11">
      <c r="A2">
        <v>1001</v>
      </c>
      <c r="B2" s="1" t="s">
        <v>11</v>
      </c>
      <c r="C2" s="1" t="s">
        <v>12</v>
      </c>
      <c r="D2">
        <v>30</v>
      </c>
      <c r="E2" t="s">
        <v>13</v>
      </c>
      <c r="F2" t="s">
        <v>14</v>
      </c>
      <c r="G2">
        <v>45000</v>
      </c>
      <c r="H2" s="3">
        <v>37197</v>
      </c>
      <c r="I2" s="3">
        <v>42253</v>
      </c>
      <c r="J2" t="str" cm="1">
        <f t="array" ref="J2:J10">TRIM(C2:C10)</f>
        <v>Ali</v>
      </c>
    </row>
    <row r="3" spans="1:11">
      <c r="A3">
        <v>1002</v>
      </c>
      <c r="B3" s="1" t="s">
        <v>15</v>
      </c>
      <c r="C3" s="1" t="s">
        <v>16</v>
      </c>
      <c r="D3">
        <v>30</v>
      </c>
      <c r="E3" t="s">
        <v>17</v>
      </c>
      <c r="F3" t="s">
        <v>18</v>
      </c>
      <c r="G3">
        <v>36000</v>
      </c>
      <c r="H3" s="3">
        <v>36436</v>
      </c>
      <c r="I3" s="3">
        <v>42287</v>
      </c>
      <c r="J3" t="str">
        <v>Khan</v>
      </c>
    </row>
    <row r="4" spans="1:11">
      <c r="A4">
        <v>1003</v>
      </c>
      <c r="B4" s="1" t="s">
        <v>19</v>
      </c>
      <c r="C4" s="1" t="s">
        <v>20</v>
      </c>
      <c r="D4">
        <v>29</v>
      </c>
      <c r="E4" t="s">
        <v>13</v>
      </c>
      <c r="F4" t="s">
        <v>14</v>
      </c>
      <c r="G4">
        <v>63000</v>
      </c>
      <c r="H4" s="3">
        <v>36711</v>
      </c>
      <c r="I4" s="3">
        <v>42986</v>
      </c>
      <c r="J4" t="str">
        <v>Ahmed</v>
      </c>
    </row>
    <row r="5" spans="1:11">
      <c r="A5">
        <v>1004</v>
      </c>
      <c r="B5" s="1" t="s">
        <v>21</v>
      </c>
      <c r="C5" s="1" t="s">
        <v>75</v>
      </c>
      <c r="D5">
        <v>31</v>
      </c>
      <c r="E5" t="s">
        <v>17</v>
      </c>
      <c r="F5" t="s">
        <v>23</v>
      </c>
      <c r="G5">
        <v>47000</v>
      </c>
      <c r="H5" s="3">
        <v>36530</v>
      </c>
      <c r="I5" s="3">
        <v>42341</v>
      </c>
      <c r="J5" t="str">
        <v>Sana</v>
      </c>
    </row>
    <row r="6" spans="1:11">
      <c r="A6">
        <v>1005</v>
      </c>
      <c r="B6" s="1" t="s">
        <v>24</v>
      </c>
      <c r="C6" s="1" t="s">
        <v>25</v>
      </c>
      <c r="D6">
        <v>32</v>
      </c>
      <c r="E6" t="s">
        <v>13</v>
      </c>
      <c r="F6" t="s">
        <v>26</v>
      </c>
      <c r="G6">
        <v>50000</v>
      </c>
      <c r="H6" s="3">
        <v>37017</v>
      </c>
      <c r="I6" s="3">
        <v>42977</v>
      </c>
      <c r="J6" t="str">
        <v>Siddiqui</v>
      </c>
    </row>
    <row r="7" spans="1:11">
      <c r="A7">
        <v>1006</v>
      </c>
      <c r="B7" s="1" t="s">
        <v>27</v>
      </c>
      <c r="C7" s="1" t="s">
        <v>76</v>
      </c>
      <c r="D7">
        <v>35</v>
      </c>
      <c r="E7" t="s">
        <v>13</v>
      </c>
      <c r="F7" t="s">
        <v>29</v>
      </c>
      <c r="G7">
        <v>65000</v>
      </c>
      <c r="H7" s="3">
        <v>35040</v>
      </c>
      <c r="I7" s="3">
        <v>41528</v>
      </c>
      <c r="J7" t="str">
        <v>Faraz</v>
      </c>
    </row>
    <row r="8" spans="1:11">
      <c r="A8">
        <v>1007</v>
      </c>
      <c r="B8" s="1" t="s">
        <v>30</v>
      </c>
      <c r="C8" s="1" t="s">
        <v>31</v>
      </c>
      <c r="D8">
        <v>32</v>
      </c>
      <c r="E8" t="s">
        <v>17</v>
      </c>
      <c r="F8" t="s">
        <v>32</v>
      </c>
      <c r="G8">
        <v>41000</v>
      </c>
      <c r="H8" s="3">
        <v>37933</v>
      </c>
      <c r="I8" s="3">
        <v>41551</v>
      </c>
      <c r="J8" t="str">
        <v>Nawaz</v>
      </c>
    </row>
    <row r="9" spans="1:11">
      <c r="A9">
        <v>1008</v>
      </c>
      <c r="B9" s="1" t="s">
        <v>33</v>
      </c>
      <c r="C9" s="1" t="s">
        <v>34</v>
      </c>
      <c r="D9">
        <v>38</v>
      </c>
      <c r="E9" t="s">
        <v>13</v>
      </c>
      <c r="F9" t="s">
        <v>14</v>
      </c>
      <c r="G9">
        <v>48000</v>
      </c>
      <c r="H9" s="3">
        <v>37416</v>
      </c>
      <c r="I9" s="3">
        <v>42116</v>
      </c>
      <c r="J9" t="str">
        <v>Akmal</v>
      </c>
    </row>
    <row r="10" spans="1:11">
      <c r="A10">
        <v>1009</v>
      </c>
      <c r="B10" s="1" t="s">
        <v>35</v>
      </c>
      <c r="C10" s="1" t="s">
        <v>77</v>
      </c>
      <c r="D10">
        <v>31</v>
      </c>
      <c r="E10" t="s">
        <v>13</v>
      </c>
      <c r="F10" t="s">
        <v>23</v>
      </c>
      <c r="G10">
        <v>42000</v>
      </c>
      <c r="H10" s="3">
        <v>37843</v>
      </c>
      <c r="I10" s="3">
        <v>40800</v>
      </c>
      <c r="J10" t="str">
        <v>Qureshi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/>
  </sheetPr>
  <dimension ref="A1:M20"/>
  <sheetViews>
    <sheetView workbookViewId="0">
      <selection activeCell="K12" sqref="K12"/>
    </sheetView>
  </sheetViews>
  <sheetFormatPr defaultColWidth="13.6363636363636" defaultRowHeight="14.5"/>
  <cols>
    <col min="1" max="1" width="10.8181818181818" customWidth="1"/>
    <col min="4" max="4" width="7.63636363636364" customWidth="1"/>
    <col min="10" max="10" width="14.8181818181818" customWidth="1"/>
    <col min="11" max="11" width="16.454545454545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4" t="s">
        <v>78</v>
      </c>
      <c r="K1" s="4" t="s">
        <v>79</v>
      </c>
      <c r="L1" s="4" t="s">
        <v>80</v>
      </c>
    </row>
    <row r="2" spans="1:13">
      <c r="A2">
        <v>1001</v>
      </c>
      <c r="B2" s="1" t="s">
        <v>11</v>
      </c>
      <c r="C2" s="1" t="s">
        <v>12</v>
      </c>
      <c r="D2">
        <v>30</v>
      </c>
      <c r="E2" t="s">
        <v>13</v>
      </c>
      <c r="F2" t="s">
        <v>14</v>
      </c>
      <c r="G2">
        <v>45000</v>
      </c>
      <c r="H2" s="2" t="s">
        <v>48</v>
      </c>
      <c r="I2" s="2" t="s">
        <v>49</v>
      </c>
      <c r="J2" t="str" cm="1">
        <f t="array" ref="J2:J10">SUBSTITUTE(H2:H10,"/","-",1)</f>
        <v>11-2/2001</v>
      </c>
      <c r="K2" t="str" cm="1">
        <f t="array" ref="K2:K10">SUBSTITUTE(H2:H10,"/","-",2)</f>
        <v>11/2-2001</v>
      </c>
      <c r="L2" t="str" cm="1">
        <f t="array" ref="L2:L10">SUBSTITUTE(H2:H10,"-","/")</f>
        <v>11/2/2001</v>
      </c>
      <c r="M2" t="str" cm="1">
        <f t="array" ref="M2:M10">SUBSTITUTE(H2:H10,"/","-")</f>
        <v>11-2-2001</v>
      </c>
    </row>
    <row r="3" spans="1:13">
      <c r="A3">
        <v>1002</v>
      </c>
      <c r="B3" s="1" t="s">
        <v>15</v>
      </c>
      <c r="C3" s="1" t="s">
        <v>16</v>
      </c>
      <c r="D3">
        <v>30</v>
      </c>
      <c r="E3" t="s">
        <v>17</v>
      </c>
      <c r="F3" t="s">
        <v>18</v>
      </c>
      <c r="G3">
        <v>36000</v>
      </c>
      <c r="H3" s="2" t="s">
        <v>50</v>
      </c>
      <c r="I3" s="2" t="s">
        <v>51</v>
      </c>
      <c r="J3" t="str">
        <v>10-3/1999</v>
      </c>
      <c r="K3" t="str">
        <v>10/3-1999</v>
      </c>
      <c r="L3" t="str">
        <v>10/3/1999</v>
      </c>
      <c r="M3" t="str">
        <v>10-3-1999</v>
      </c>
    </row>
    <row r="4" spans="1:13">
      <c r="A4">
        <v>1003</v>
      </c>
      <c r="B4" s="1" t="s">
        <v>19</v>
      </c>
      <c r="C4" s="1" t="s">
        <v>20</v>
      </c>
      <c r="D4">
        <v>29</v>
      </c>
      <c r="E4" t="s">
        <v>13</v>
      </c>
      <c r="F4" t="s">
        <v>14</v>
      </c>
      <c r="G4">
        <v>63000</v>
      </c>
      <c r="H4" s="2" t="s">
        <v>52</v>
      </c>
      <c r="I4" s="2" t="s">
        <v>53</v>
      </c>
      <c r="J4" t="str">
        <v>7-4/2000</v>
      </c>
      <c r="K4" t="str">
        <v>7/4-2000</v>
      </c>
      <c r="L4" t="str">
        <v>7/4/2000</v>
      </c>
      <c r="M4" t="str">
        <v>7-4-2000</v>
      </c>
    </row>
    <row r="5" spans="1:13">
      <c r="A5">
        <v>1004</v>
      </c>
      <c r="B5" s="1" t="s">
        <v>21</v>
      </c>
      <c r="C5" s="1" t="s">
        <v>22</v>
      </c>
      <c r="D5">
        <v>31</v>
      </c>
      <c r="E5" t="s">
        <v>17</v>
      </c>
      <c r="F5" t="s">
        <v>23</v>
      </c>
      <c r="G5">
        <v>47000</v>
      </c>
      <c r="H5" s="2" t="s">
        <v>81</v>
      </c>
      <c r="I5" s="2" t="s">
        <v>55</v>
      </c>
      <c r="J5" t="str">
        <v>1-5-2000</v>
      </c>
      <c r="K5" t="str">
        <v>1-5-2000</v>
      </c>
      <c r="L5" t="str">
        <v>1/5/2000</v>
      </c>
      <c r="M5" t="str">
        <v>1-5-2000</v>
      </c>
    </row>
    <row r="6" spans="1:13">
      <c r="A6">
        <v>1005</v>
      </c>
      <c r="B6" s="1" t="s">
        <v>24</v>
      </c>
      <c r="C6" s="1" t="s">
        <v>25</v>
      </c>
      <c r="D6">
        <v>32</v>
      </c>
      <c r="E6" t="s">
        <v>13</v>
      </c>
      <c r="F6" t="s">
        <v>26</v>
      </c>
      <c r="G6">
        <v>50000</v>
      </c>
      <c r="H6" s="2" t="s">
        <v>56</v>
      </c>
      <c r="I6" s="2" t="s">
        <v>82</v>
      </c>
      <c r="J6" t="str">
        <v>5-6/2001</v>
      </c>
      <c r="K6" t="str">
        <v>5/6-2001</v>
      </c>
      <c r="L6" t="str">
        <v>5/6/2001</v>
      </c>
      <c r="M6" t="str">
        <v>5-6-2001</v>
      </c>
    </row>
    <row r="7" spans="1:13">
      <c r="A7">
        <v>1006</v>
      </c>
      <c r="B7" s="1" t="s">
        <v>27</v>
      </c>
      <c r="C7" s="1" t="s">
        <v>28</v>
      </c>
      <c r="D7">
        <v>35</v>
      </c>
      <c r="E7" t="s">
        <v>13</v>
      </c>
      <c r="F7" t="s">
        <v>29</v>
      </c>
      <c r="G7">
        <v>65000</v>
      </c>
      <c r="H7" s="2" t="s">
        <v>56</v>
      </c>
      <c r="I7" s="2" t="s">
        <v>58</v>
      </c>
      <c r="J7" t="str">
        <v>5-6/2001</v>
      </c>
      <c r="K7" t="str">
        <v>5/6-2001</v>
      </c>
      <c r="L7" t="str">
        <v>5/6/2001</v>
      </c>
      <c r="M7" t="str">
        <v>5-6-2001</v>
      </c>
    </row>
    <row r="8" spans="1:13">
      <c r="A8">
        <v>1007</v>
      </c>
      <c r="B8" s="1" t="s">
        <v>30</v>
      </c>
      <c r="C8" s="1" t="s">
        <v>31</v>
      </c>
      <c r="D8">
        <v>32</v>
      </c>
      <c r="E8" t="s">
        <v>17</v>
      </c>
      <c r="F8" t="s">
        <v>32</v>
      </c>
      <c r="G8">
        <v>41000</v>
      </c>
      <c r="H8" s="2" t="s">
        <v>59</v>
      </c>
      <c r="I8" s="2" t="s">
        <v>58</v>
      </c>
      <c r="J8" t="str">
        <v>11-8/2003</v>
      </c>
      <c r="K8" t="str">
        <v>11/8-2003</v>
      </c>
      <c r="L8" t="str">
        <v>11/8/2003</v>
      </c>
      <c r="M8" t="str">
        <v>11-8-2003</v>
      </c>
    </row>
    <row r="9" spans="1:13">
      <c r="A9">
        <v>1008</v>
      </c>
      <c r="B9" s="1" t="s">
        <v>33</v>
      </c>
      <c r="C9" s="1" t="s">
        <v>34</v>
      </c>
      <c r="D9">
        <v>38</v>
      </c>
      <c r="E9" t="s">
        <v>13</v>
      </c>
      <c r="F9" t="s">
        <v>14</v>
      </c>
      <c r="G9">
        <v>48000</v>
      </c>
      <c r="H9" s="2" t="s">
        <v>60</v>
      </c>
      <c r="I9" s="2" t="s">
        <v>61</v>
      </c>
      <c r="J9" t="str">
        <v>6-9/2002</v>
      </c>
      <c r="K9" t="str">
        <v>6/9-2002</v>
      </c>
      <c r="L9" t="str">
        <v>6/9/2002</v>
      </c>
      <c r="M9" t="str">
        <v>6-9-2002</v>
      </c>
    </row>
    <row r="10" spans="1:13">
      <c r="A10">
        <v>1009</v>
      </c>
      <c r="B10" s="1" t="s">
        <v>35</v>
      </c>
      <c r="C10" s="1" t="s">
        <v>36</v>
      </c>
      <c r="D10">
        <v>31</v>
      </c>
      <c r="E10" t="s">
        <v>13</v>
      </c>
      <c r="F10" t="s">
        <v>23</v>
      </c>
      <c r="G10">
        <v>42000</v>
      </c>
      <c r="H10" s="2" t="s">
        <v>62</v>
      </c>
      <c r="I10" s="2" t="s">
        <v>61</v>
      </c>
      <c r="J10" t="str">
        <v>8-10/2003</v>
      </c>
      <c r="K10" t="str">
        <v>8/10-2003</v>
      </c>
      <c r="L10" t="str">
        <v>8/10/2003</v>
      </c>
      <c r="M10" t="str">
        <v>8-10-2003</v>
      </c>
    </row>
    <row r="12" spans="1:13">
      <c r="H12" s="2"/>
      <c r="I12" s="2"/>
    </row>
    <row r="13" spans="1:13">
      <c r="H13" s="2"/>
      <c r="I13" s="2"/>
    </row>
    <row r="14" spans="1:13">
      <c r="H14" s="2"/>
      <c r="I14" s="2"/>
    </row>
    <row r="15" spans="1:13">
      <c r="H15" s="2"/>
      <c r="I15" s="2"/>
    </row>
    <row r="16" spans="1:13">
      <c r="H16" s="2"/>
      <c r="I16" s="2"/>
    </row>
    <row r="17" spans="8:9">
      <c r="H17" s="2"/>
      <c r="I17" s="2"/>
    </row>
    <row r="18" spans="8:9">
      <c r="H18" s="2"/>
      <c r="I18" s="2"/>
    </row>
    <row r="19" spans="8:9">
      <c r="H19" s="2"/>
      <c r="I19" s="2"/>
    </row>
    <row r="20" spans="8:9">
      <c r="H20" s="2"/>
      <c r="I20" s="2"/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/>
  </sheetPr>
  <dimension ref="A1:L10"/>
  <sheetViews>
    <sheetView workbookViewId="0">
      <selection activeCell="J1" sqref="J1:L1"/>
    </sheetView>
  </sheetViews>
  <sheetFormatPr defaultColWidth="13" defaultRowHeight="14.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4" t="s">
        <v>83</v>
      </c>
      <c r="K1" s="4" t="s">
        <v>84</v>
      </c>
      <c r="L1" s="4" t="s">
        <v>85</v>
      </c>
    </row>
    <row r="2" spans="1:12">
      <c r="A2">
        <v>1001</v>
      </c>
      <c r="B2" s="1" t="s">
        <v>11</v>
      </c>
      <c r="C2" s="1" t="s">
        <v>12</v>
      </c>
      <c r="D2">
        <v>30</v>
      </c>
      <c r="E2" t="s">
        <v>13</v>
      </c>
      <c r="F2" t="s">
        <v>14</v>
      </c>
      <c r="G2">
        <v>45000</v>
      </c>
      <c r="H2" s="3">
        <v>37197</v>
      </c>
      <c r="I2" s="3">
        <v>42253</v>
      </c>
      <c r="J2">
        <f>SUM(G2:G10)</f>
        <v>437000</v>
      </c>
      <c r="K2">
        <f>SUMIF(F2:F10,"Salesman",G2:G10)</f>
        <v>156000</v>
      </c>
      <c r="L2">
        <f>SUMIFS(G2:G10,E2:E10,"Female",D2:D10,"&gt;30")</f>
        <v>88000</v>
      </c>
    </row>
    <row r="3" spans="1:12">
      <c r="A3">
        <v>1002</v>
      </c>
      <c r="B3" s="1" t="s">
        <v>15</v>
      </c>
      <c r="C3" s="1" t="s">
        <v>16</v>
      </c>
      <c r="D3">
        <v>30</v>
      </c>
      <c r="E3" t="s">
        <v>17</v>
      </c>
      <c r="F3" t="s">
        <v>18</v>
      </c>
      <c r="G3">
        <v>36000</v>
      </c>
      <c r="H3" s="3">
        <v>36436</v>
      </c>
      <c r="I3" s="3">
        <v>42287</v>
      </c>
      <c r="J3">
        <f>SUM(G2,G9,G4)</f>
        <v>156000</v>
      </c>
      <c r="K3">
        <f>SUMIF(G2:G10,"&gt;50000",G2:G10)</f>
        <v>128000</v>
      </c>
    </row>
    <row r="4" spans="1:12">
      <c r="A4">
        <v>1003</v>
      </c>
      <c r="B4" s="1" t="s">
        <v>19</v>
      </c>
      <c r="C4" s="1" t="s">
        <v>20</v>
      </c>
      <c r="D4">
        <v>29</v>
      </c>
      <c r="E4" t="s">
        <v>13</v>
      </c>
      <c r="F4" t="s">
        <v>14</v>
      </c>
      <c r="G4">
        <v>63000</v>
      </c>
      <c r="H4" s="3">
        <v>36711</v>
      </c>
      <c r="I4" s="3">
        <v>42986</v>
      </c>
    </row>
    <row r="5" spans="1:12">
      <c r="A5">
        <v>1004</v>
      </c>
      <c r="B5" s="1" t="s">
        <v>21</v>
      </c>
      <c r="C5" s="1" t="s">
        <v>22</v>
      </c>
      <c r="D5">
        <v>31</v>
      </c>
      <c r="E5" t="s">
        <v>17</v>
      </c>
      <c r="F5" t="s">
        <v>23</v>
      </c>
      <c r="G5">
        <v>47000</v>
      </c>
      <c r="H5" s="3">
        <v>36530</v>
      </c>
      <c r="I5" s="3">
        <v>42341</v>
      </c>
    </row>
    <row r="6" spans="1:12">
      <c r="A6">
        <v>1005</v>
      </c>
      <c r="B6" s="1" t="s">
        <v>24</v>
      </c>
      <c r="C6" s="1" t="s">
        <v>25</v>
      </c>
      <c r="D6">
        <v>32</v>
      </c>
      <c r="E6" t="s">
        <v>13</v>
      </c>
      <c r="F6" t="s">
        <v>26</v>
      </c>
      <c r="G6">
        <v>50000</v>
      </c>
      <c r="H6" s="3">
        <v>37017</v>
      </c>
      <c r="I6" s="3">
        <v>42977</v>
      </c>
    </row>
    <row r="7" spans="1:12">
      <c r="A7">
        <v>1006</v>
      </c>
      <c r="B7" s="1" t="s">
        <v>27</v>
      </c>
      <c r="C7" s="1" t="s">
        <v>28</v>
      </c>
      <c r="D7">
        <v>35</v>
      </c>
      <c r="E7" t="s">
        <v>13</v>
      </c>
      <c r="F7" t="s">
        <v>29</v>
      </c>
      <c r="G7">
        <v>65000</v>
      </c>
      <c r="H7" s="3">
        <v>35040</v>
      </c>
      <c r="I7" s="3">
        <v>41528</v>
      </c>
    </row>
    <row r="8" spans="1:12">
      <c r="A8">
        <v>1007</v>
      </c>
      <c r="B8" s="1" t="s">
        <v>30</v>
      </c>
      <c r="C8" s="1" t="s">
        <v>31</v>
      </c>
      <c r="D8">
        <v>32</v>
      </c>
      <c r="E8" t="s">
        <v>17</v>
      </c>
      <c r="F8" t="s">
        <v>32</v>
      </c>
      <c r="G8">
        <v>41000</v>
      </c>
      <c r="H8" s="3">
        <v>37933</v>
      </c>
      <c r="I8" s="3">
        <v>41551</v>
      </c>
    </row>
    <row r="9" spans="1:12">
      <c r="A9">
        <v>1008</v>
      </c>
      <c r="B9" s="1" t="s">
        <v>33</v>
      </c>
      <c r="C9" s="1" t="s">
        <v>34</v>
      </c>
      <c r="D9">
        <v>38</v>
      </c>
      <c r="E9" t="s">
        <v>13</v>
      </c>
      <c r="F9" t="s">
        <v>14</v>
      </c>
      <c r="G9">
        <v>48000</v>
      </c>
      <c r="H9" s="3">
        <v>37416</v>
      </c>
      <c r="I9" s="3">
        <v>42116</v>
      </c>
    </row>
    <row r="10" spans="1:12">
      <c r="A10">
        <v>1009</v>
      </c>
      <c r="B10" s="1" t="s">
        <v>35</v>
      </c>
      <c r="C10" s="1" t="s">
        <v>36</v>
      </c>
      <c r="D10">
        <v>31</v>
      </c>
      <c r="E10" t="s">
        <v>13</v>
      </c>
      <c r="F10" t="s">
        <v>23</v>
      </c>
      <c r="G10">
        <v>42000</v>
      </c>
      <c r="H10" s="3">
        <v>37843</v>
      </c>
      <c r="I10" s="3">
        <v>40800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/>
  </sheetPr>
  <dimension ref="A1:L10"/>
  <sheetViews>
    <sheetView workbookViewId="0">
      <selection activeCell="J1" sqref="J1:L1"/>
    </sheetView>
  </sheetViews>
  <sheetFormatPr defaultColWidth="13.6363636363636" defaultRowHeight="14.5"/>
  <cols>
    <col min="1" max="1" width="10.8181818181818" customWidth="1"/>
    <col min="4" max="4" width="7.63636363636364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4" t="s">
        <v>86</v>
      </c>
      <c r="K1" s="4" t="s">
        <v>87</v>
      </c>
      <c r="L1" s="4" t="s">
        <v>88</v>
      </c>
    </row>
    <row r="2" spans="1:12">
      <c r="A2">
        <v>1001</v>
      </c>
      <c r="B2" s="1" t="s">
        <v>11</v>
      </c>
      <c r="C2" s="1" t="s">
        <v>12</v>
      </c>
      <c r="D2">
        <v>30</v>
      </c>
      <c r="E2" t="s">
        <v>13</v>
      </c>
      <c r="F2" t="s">
        <v>14</v>
      </c>
      <c r="G2">
        <v>45000</v>
      </c>
      <c r="H2" s="3">
        <v>37197</v>
      </c>
      <c r="I2" s="3">
        <v>42253</v>
      </c>
      <c r="J2">
        <f>COUNT(G2:G10)</f>
        <v>9</v>
      </c>
      <c r="K2">
        <f>COUNTIF(G2:G10,"&gt;50000")</f>
        <v>2</v>
      </c>
      <c r="L2">
        <f>COUNTIFS(A2:A10,"&gt;1005",E2:E10,"Male")</f>
        <v>3</v>
      </c>
    </row>
    <row r="3" spans="1:12">
      <c r="A3">
        <v>1002</v>
      </c>
      <c r="B3" s="1" t="s">
        <v>15</v>
      </c>
      <c r="C3" s="1" t="s">
        <v>16</v>
      </c>
      <c r="D3">
        <v>30</v>
      </c>
      <c r="E3" t="s">
        <v>17</v>
      </c>
      <c r="F3" t="s">
        <v>18</v>
      </c>
      <c r="G3">
        <v>36000</v>
      </c>
      <c r="H3" s="3">
        <v>36436</v>
      </c>
      <c r="I3" s="3">
        <v>42287</v>
      </c>
    </row>
    <row r="4" spans="1:12">
      <c r="A4">
        <v>1003</v>
      </c>
      <c r="B4" s="1" t="s">
        <v>19</v>
      </c>
      <c r="C4" s="1" t="s">
        <v>20</v>
      </c>
      <c r="D4">
        <v>29</v>
      </c>
      <c r="E4" t="s">
        <v>13</v>
      </c>
      <c r="F4" t="s">
        <v>14</v>
      </c>
      <c r="G4">
        <v>63000</v>
      </c>
      <c r="H4" s="3">
        <v>36711</v>
      </c>
      <c r="I4" s="3">
        <v>42986</v>
      </c>
    </row>
    <row r="5" spans="1:12">
      <c r="A5">
        <v>1004</v>
      </c>
      <c r="B5" s="1" t="s">
        <v>21</v>
      </c>
      <c r="C5" s="1" t="s">
        <v>22</v>
      </c>
      <c r="D5">
        <v>31</v>
      </c>
      <c r="E5" t="s">
        <v>17</v>
      </c>
      <c r="F5" t="s">
        <v>23</v>
      </c>
      <c r="G5">
        <v>47000</v>
      </c>
      <c r="H5" s="3">
        <v>36530</v>
      </c>
      <c r="I5" s="3">
        <v>42341</v>
      </c>
    </row>
    <row r="6" spans="1:12">
      <c r="A6">
        <v>1005</v>
      </c>
      <c r="B6" s="1" t="s">
        <v>24</v>
      </c>
      <c r="C6" s="1" t="s">
        <v>25</v>
      </c>
      <c r="D6">
        <v>32</v>
      </c>
      <c r="E6" t="s">
        <v>13</v>
      </c>
      <c r="F6" t="s">
        <v>26</v>
      </c>
      <c r="G6">
        <v>50000</v>
      </c>
      <c r="H6" s="3">
        <v>37017</v>
      </c>
      <c r="I6" s="3">
        <v>42977</v>
      </c>
    </row>
    <row r="7" spans="1:12">
      <c r="A7">
        <v>1006</v>
      </c>
      <c r="B7" s="1" t="s">
        <v>27</v>
      </c>
      <c r="C7" s="1" t="s">
        <v>28</v>
      </c>
      <c r="D7">
        <v>35</v>
      </c>
      <c r="E7" t="s">
        <v>13</v>
      </c>
      <c r="F7" t="s">
        <v>29</v>
      </c>
      <c r="G7">
        <v>65000</v>
      </c>
      <c r="H7" s="3">
        <v>35040</v>
      </c>
      <c r="I7" s="3">
        <v>41528</v>
      </c>
    </row>
    <row r="8" spans="1:12">
      <c r="A8">
        <v>1007</v>
      </c>
      <c r="B8" s="1" t="s">
        <v>30</v>
      </c>
      <c r="C8" s="1" t="s">
        <v>31</v>
      </c>
      <c r="D8">
        <v>32</v>
      </c>
      <c r="E8" t="s">
        <v>17</v>
      </c>
      <c r="F8" t="s">
        <v>32</v>
      </c>
      <c r="G8">
        <v>41000</v>
      </c>
      <c r="H8" s="3">
        <v>37933</v>
      </c>
      <c r="I8" s="3">
        <v>41551</v>
      </c>
    </row>
    <row r="9" spans="1:12">
      <c r="A9">
        <v>1008</v>
      </c>
      <c r="B9" s="1" t="s">
        <v>33</v>
      </c>
      <c r="C9" s="1" t="s">
        <v>34</v>
      </c>
      <c r="D9">
        <v>38</v>
      </c>
      <c r="E9" t="s">
        <v>13</v>
      </c>
      <c r="F9" t="s">
        <v>14</v>
      </c>
      <c r="G9">
        <v>48000</v>
      </c>
      <c r="H9" s="3">
        <v>37416</v>
      </c>
      <c r="I9" s="3">
        <v>42116</v>
      </c>
    </row>
    <row r="10" spans="1:12">
      <c r="A10">
        <v>1009</v>
      </c>
      <c r="B10" s="1" t="s">
        <v>35</v>
      </c>
      <c r="C10" s="1" t="s">
        <v>36</v>
      </c>
      <c r="D10">
        <v>31</v>
      </c>
      <c r="E10" t="s">
        <v>13</v>
      </c>
      <c r="F10" t="s">
        <v>23</v>
      </c>
      <c r="G10">
        <v>42000</v>
      </c>
      <c r="H10" s="3">
        <v>37843</v>
      </c>
      <c r="I10" s="3">
        <v>40800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/>
  </sheetPr>
  <dimension ref="A1:J12"/>
  <sheetViews>
    <sheetView workbookViewId="0">
      <selection activeCell="J1" sqref="J1"/>
    </sheetView>
  </sheetViews>
  <sheetFormatPr defaultColWidth="9" defaultRowHeight="14.5"/>
  <cols>
    <col min="2" max="2" width="13.4545454545455" customWidth="1"/>
    <col min="3" max="5" width="10.6363636363636" customWidth="1"/>
    <col min="6" max="6" width="16.5454545454545" customWidth="1"/>
    <col min="8" max="8" width="14.1818181818182" customWidth="1"/>
    <col min="9" max="9" width="14.8181818181818" customWidth="1"/>
    <col min="10" max="10" width="22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4" t="s">
        <v>89</v>
      </c>
    </row>
    <row r="2" customHeight="1" spans="1:10">
      <c r="A2">
        <v>1001</v>
      </c>
      <c r="B2" s="1" t="s">
        <v>11</v>
      </c>
      <c r="C2" s="1" t="s">
        <v>12</v>
      </c>
      <c r="D2">
        <v>30</v>
      </c>
      <c r="E2" t="s">
        <v>13</v>
      </c>
      <c r="F2" t="s">
        <v>14</v>
      </c>
      <c r="G2">
        <v>45000</v>
      </c>
      <c r="H2" s="3">
        <v>37197</v>
      </c>
      <c r="I2" s="3">
        <v>42253</v>
      </c>
      <c r="J2" t="str">
        <f>_xlfn.CONCAT(B2," ",C2)</f>
        <v>Muhammad Ali</v>
      </c>
    </row>
    <row r="3" spans="1:10">
      <c r="A3">
        <v>1002</v>
      </c>
      <c r="B3" s="1" t="s">
        <v>15</v>
      </c>
      <c r="C3" s="1" t="s">
        <v>16</v>
      </c>
      <c r="D3">
        <v>30</v>
      </c>
      <c r="E3" t="s">
        <v>17</v>
      </c>
      <c r="F3" t="s">
        <v>18</v>
      </c>
      <c r="G3">
        <v>36000</v>
      </c>
      <c r="H3" s="3">
        <v>36436</v>
      </c>
      <c r="I3" s="3">
        <v>42287</v>
      </c>
      <c r="J3" t="str">
        <f t="shared" ref="J3:J10" si="0">_xlfn.CONCAT(B3," ",C3)</f>
        <v>Ayesha Khan</v>
      </c>
    </row>
    <row r="4" spans="1:10">
      <c r="A4">
        <v>1003</v>
      </c>
      <c r="B4" s="1" t="s">
        <v>19</v>
      </c>
      <c r="C4" s="1" t="s">
        <v>20</v>
      </c>
      <c r="D4">
        <v>29</v>
      </c>
      <c r="E4" t="s">
        <v>13</v>
      </c>
      <c r="F4" t="s">
        <v>14</v>
      </c>
      <c r="G4">
        <v>63000</v>
      </c>
      <c r="H4" s="3">
        <v>36711</v>
      </c>
      <c r="I4" s="3">
        <v>42986</v>
      </c>
      <c r="J4" t="str">
        <f t="shared" si="0"/>
        <v>Shahzad Ahmed</v>
      </c>
    </row>
    <row r="5" spans="1:10">
      <c r="A5">
        <v>1004</v>
      </c>
      <c r="B5" s="1" t="s">
        <v>21</v>
      </c>
      <c r="C5" s="1" t="s">
        <v>22</v>
      </c>
      <c r="D5">
        <v>31</v>
      </c>
      <c r="E5" t="s">
        <v>17</v>
      </c>
      <c r="F5" t="s">
        <v>23</v>
      </c>
      <c r="G5">
        <v>47000</v>
      </c>
      <c r="H5" s="3">
        <v>36530</v>
      </c>
      <c r="I5" s="3">
        <v>42341</v>
      </c>
      <c r="J5" t="str">
        <f t="shared" si="0"/>
        <v>Fatima Sana</v>
      </c>
    </row>
    <row r="6" spans="1:10">
      <c r="A6">
        <v>1005</v>
      </c>
      <c r="B6" s="1" t="s">
        <v>24</v>
      </c>
      <c r="C6" s="1" t="s">
        <v>25</v>
      </c>
      <c r="D6">
        <v>32</v>
      </c>
      <c r="E6" t="s">
        <v>13</v>
      </c>
      <c r="F6" t="s">
        <v>26</v>
      </c>
      <c r="G6">
        <v>50000</v>
      </c>
      <c r="H6" s="3">
        <v>37017</v>
      </c>
      <c r="I6" s="3">
        <v>42977</v>
      </c>
      <c r="J6" t="str">
        <f t="shared" si="0"/>
        <v>Bilal Siddiqui</v>
      </c>
    </row>
    <row r="7" spans="1:10">
      <c r="A7">
        <v>1006</v>
      </c>
      <c r="B7" s="1" t="s">
        <v>27</v>
      </c>
      <c r="C7" s="1" t="s">
        <v>28</v>
      </c>
      <c r="D7">
        <v>35</v>
      </c>
      <c r="E7" t="s">
        <v>13</v>
      </c>
      <c r="F7" t="s">
        <v>29</v>
      </c>
      <c r="G7">
        <v>65000</v>
      </c>
      <c r="H7" s="3">
        <v>35040</v>
      </c>
      <c r="I7" s="3">
        <v>41528</v>
      </c>
      <c r="J7" t="str">
        <f t="shared" si="0"/>
        <v>Zain Faraz</v>
      </c>
    </row>
    <row r="8" spans="1:10">
      <c r="A8">
        <v>1007</v>
      </c>
      <c r="B8" s="1" t="s">
        <v>30</v>
      </c>
      <c r="C8" s="1" t="s">
        <v>31</v>
      </c>
      <c r="D8">
        <v>32</v>
      </c>
      <c r="E8" t="s">
        <v>17</v>
      </c>
      <c r="F8" t="s">
        <v>32</v>
      </c>
      <c r="G8">
        <v>41000</v>
      </c>
      <c r="H8" s="3">
        <v>37933</v>
      </c>
      <c r="I8" s="3">
        <v>41551</v>
      </c>
      <c r="J8" t="str">
        <f t="shared" si="0"/>
        <v>Maryam Nawaz</v>
      </c>
    </row>
    <row r="9" spans="1:10">
      <c r="A9">
        <v>1008</v>
      </c>
      <c r="B9" s="1" t="s">
        <v>33</v>
      </c>
      <c r="C9" s="1" t="s">
        <v>34</v>
      </c>
      <c r="D9">
        <v>38</v>
      </c>
      <c r="E9" t="s">
        <v>13</v>
      </c>
      <c r="F9" t="s">
        <v>14</v>
      </c>
      <c r="G9">
        <v>48000</v>
      </c>
      <c r="H9" s="3">
        <v>37416</v>
      </c>
      <c r="I9" s="3">
        <v>42116</v>
      </c>
      <c r="J9" t="str">
        <f t="shared" si="0"/>
        <v>Kamran Akmal</v>
      </c>
    </row>
    <row r="10" spans="1:10">
      <c r="A10">
        <v>1009</v>
      </c>
      <c r="B10" s="1" t="s">
        <v>35</v>
      </c>
      <c r="C10" s="1" t="s">
        <v>36</v>
      </c>
      <c r="D10">
        <v>31</v>
      </c>
      <c r="E10" t="s">
        <v>13</v>
      </c>
      <c r="F10" t="s">
        <v>23</v>
      </c>
      <c r="G10">
        <v>42000</v>
      </c>
      <c r="H10" s="3">
        <v>37843</v>
      </c>
      <c r="I10" s="3">
        <v>40800</v>
      </c>
      <c r="J10" t="str">
        <f t="shared" si="0"/>
        <v>Faisal Qureshi</v>
      </c>
    </row>
    <row r="11" spans="1:10">
      <c r="H11" t="str">
        <f t="shared" ref="H11:H12" si="1">CONCATENATE(B11," ",C11)</f>
        <v> </v>
      </c>
    </row>
    <row r="12" spans="1:10">
      <c r="H12" t="str">
        <f t="shared" si="1"/>
        <v> 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/>
  </sheetPr>
  <dimension ref="A1:K10"/>
  <sheetViews>
    <sheetView workbookViewId="0">
      <selection activeCell="J1" sqref="J1:K1"/>
    </sheetView>
  </sheetViews>
  <sheetFormatPr defaultColWidth="9" defaultRowHeight="14.5"/>
  <cols>
    <col min="2" max="2" width="13.7272727272727" customWidth="1"/>
    <col min="8" max="8" width="14.4545454545455" customWidth="1"/>
    <col min="9" max="9" width="13.3636363636364" customWidth="1"/>
    <col min="11" max="11" width="14.090909090909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4" t="s">
        <v>90</v>
      </c>
      <c r="K1" s="4" t="s">
        <v>91</v>
      </c>
    </row>
    <row r="2" spans="1:11">
      <c r="A2">
        <v>1001</v>
      </c>
      <c r="B2" s="1" t="s">
        <v>11</v>
      </c>
      <c r="C2" s="1" t="s">
        <v>12</v>
      </c>
      <c r="D2">
        <v>30</v>
      </c>
      <c r="E2" t="s">
        <v>13</v>
      </c>
      <c r="F2" t="s">
        <v>14</v>
      </c>
      <c r="G2">
        <v>45000</v>
      </c>
      <c r="H2" s="2" t="s">
        <v>48</v>
      </c>
      <c r="I2" s="2" t="s">
        <v>49</v>
      </c>
      <c r="J2">
        <f>_xlfn.DAYS(I2,H2)</f>
        <v>5056</v>
      </c>
      <c r="K2">
        <f>NETWORKDAYS(H2,I2)</f>
        <v>3611</v>
      </c>
    </row>
    <row r="3" spans="1:11">
      <c r="A3">
        <v>1002</v>
      </c>
      <c r="B3" s="1" t="s">
        <v>15</v>
      </c>
      <c r="C3" s="1" t="s">
        <v>16</v>
      </c>
      <c r="D3">
        <v>30</v>
      </c>
      <c r="E3" t="s">
        <v>17</v>
      </c>
      <c r="F3" t="s">
        <v>18</v>
      </c>
      <c r="G3">
        <v>36000</v>
      </c>
      <c r="H3" s="2" t="s">
        <v>50</v>
      </c>
      <c r="I3" s="2" t="s">
        <v>51</v>
      </c>
      <c r="J3">
        <f t="shared" ref="J3:J10" si="0">_xlfn.DAYS(I3,H3)</f>
        <v>5851</v>
      </c>
      <c r="K3">
        <f t="shared" ref="K3:K10" si="1">NETWORKDAYS(H3,I3)</f>
        <v>4180</v>
      </c>
    </row>
    <row r="4" spans="1:11">
      <c r="A4">
        <v>1003</v>
      </c>
      <c r="B4" s="1" t="s">
        <v>19</v>
      </c>
      <c r="C4" s="1" t="s">
        <v>20</v>
      </c>
      <c r="D4">
        <v>29</v>
      </c>
      <c r="E4" t="s">
        <v>13</v>
      </c>
      <c r="F4" t="s">
        <v>14</v>
      </c>
      <c r="G4">
        <v>63000</v>
      </c>
      <c r="H4" s="2" t="s">
        <v>52</v>
      </c>
      <c r="I4" s="2" t="s">
        <v>53</v>
      </c>
      <c r="J4">
        <f t="shared" si="0"/>
        <v>6275</v>
      </c>
      <c r="K4">
        <f t="shared" si="1"/>
        <v>4484</v>
      </c>
    </row>
    <row r="5" spans="1:11">
      <c r="A5">
        <v>1004</v>
      </c>
      <c r="B5" s="1" t="s">
        <v>21</v>
      </c>
      <c r="C5" s="1" t="s">
        <v>22</v>
      </c>
      <c r="D5">
        <v>31</v>
      </c>
      <c r="E5" t="s">
        <v>17</v>
      </c>
      <c r="F5" t="s">
        <v>23</v>
      </c>
      <c r="G5">
        <v>47000</v>
      </c>
      <c r="H5" s="2" t="s">
        <v>54</v>
      </c>
      <c r="I5" s="2" t="s">
        <v>55</v>
      </c>
      <c r="J5">
        <f t="shared" si="0"/>
        <v>5811</v>
      </c>
      <c r="K5">
        <f t="shared" si="1"/>
        <v>4152</v>
      </c>
    </row>
    <row r="6" spans="1:11">
      <c r="A6">
        <v>1005</v>
      </c>
      <c r="B6" s="1" t="s">
        <v>24</v>
      </c>
      <c r="C6" s="1" t="s">
        <v>25</v>
      </c>
      <c r="D6">
        <v>32</v>
      </c>
      <c r="E6" t="s">
        <v>13</v>
      </c>
      <c r="F6" t="s">
        <v>26</v>
      </c>
      <c r="G6">
        <v>50000</v>
      </c>
      <c r="H6" s="2" t="s">
        <v>56</v>
      </c>
      <c r="I6" s="2" t="s">
        <v>57</v>
      </c>
      <c r="J6">
        <f t="shared" si="0"/>
        <v>5960</v>
      </c>
      <c r="K6">
        <f t="shared" si="1"/>
        <v>4258</v>
      </c>
    </row>
    <row r="7" spans="1:11">
      <c r="A7">
        <v>1006</v>
      </c>
      <c r="B7" s="1" t="s">
        <v>27</v>
      </c>
      <c r="C7" s="1" t="s">
        <v>28</v>
      </c>
      <c r="D7">
        <v>35</v>
      </c>
      <c r="E7" t="s">
        <v>13</v>
      </c>
      <c r="F7" t="s">
        <v>29</v>
      </c>
      <c r="G7">
        <v>65000</v>
      </c>
      <c r="H7" s="2" t="s">
        <v>56</v>
      </c>
      <c r="I7" s="2" t="s">
        <v>58</v>
      </c>
      <c r="J7">
        <f t="shared" si="0"/>
        <v>4511</v>
      </c>
      <c r="K7">
        <f t="shared" si="1"/>
        <v>3223</v>
      </c>
    </row>
    <row r="8" spans="1:11">
      <c r="A8">
        <v>1007</v>
      </c>
      <c r="B8" s="1" t="s">
        <v>30</v>
      </c>
      <c r="C8" s="1" t="s">
        <v>31</v>
      </c>
      <c r="D8">
        <v>32</v>
      </c>
      <c r="E8" t="s">
        <v>17</v>
      </c>
      <c r="F8" t="s">
        <v>32</v>
      </c>
      <c r="G8">
        <v>41000</v>
      </c>
      <c r="H8" s="2" t="s">
        <v>59</v>
      </c>
      <c r="I8" s="2" t="s">
        <v>58</v>
      </c>
      <c r="J8">
        <f t="shared" si="0"/>
        <v>3595</v>
      </c>
      <c r="K8">
        <f t="shared" si="1"/>
        <v>2568</v>
      </c>
    </row>
    <row r="9" spans="1:11">
      <c r="A9">
        <v>1008</v>
      </c>
      <c r="B9" s="1" t="s">
        <v>33</v>
      </c>
      <c r="C9" s="1" t="s">
        <v>34</v>
      </c>
      <c r="D9">
        <v>38</v>
      </c>
      <c r="E9" t="s">
        <v>13</v>
      </c>
      <c r="F9" t="s">
        <v>14</v>
      </c>
      <c r="G9">
        <v>48000</v>
      </c>
      <c r="H9" s="2" t="s">
        <v>60</v>
      </c>
      <c r="I9" s="2" t="s">
        <v>61</v>
      </c>
      <c r="J9">
        <f t="shared" si="0"/>
        <v>4700</v>
      </c>
      <c r="K9">
        <f t="shared" si="1"/>
        <v>3358</v>
      </c>
    </row>
    <row r="10" spans="1:11">
      <c r="A10">
        <v>1009</v>
      </c>
      <c r="B10" s="1" t="s">
        <v>35</v>
      </c>
      <c r="C10" s="1" t="s">
        <v>36</v>
      </c>
      <c r="D10">
        <v>31</v>
      </c>
      <c r="E10" t="s">
        <v>13</v>
      </c>
      <c r="F10" t="s">
        <v>23</v>
      </c>
      <c r="G10">
        <v>42000</v>
      </c>
      <c r="H10" s="2" t="s">
        <v>62</v>
      </c>
      <c r="I10" s="2" t="s">
        <v>61</v>
      </c>
      <c r="J10">
        <f t="shared" si="0"/>
        <v>4273</v>
      </c>
      <c r="K10">
        <f t="shared" si="1"/>
        <v>3053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/>
  </sheetPr>
  <dimension ref="A1:L31"/>
  <sheetViews>
    <sheetView workbookViewId="0">
      <selection activeCell="K12" sqref="K12"/>
    </sheetView>
  </sheetViews>
  <sheetFormatPr defaultColWidth="9" defaultRowHeight="14.5"/>
  <cols>
    <col min="2" max="2" width="11.5454545454545" customWidth="1"/>
    <col min="3" max="3" width="25.7272727272727" customWidth="1"/>
    <col min="4" max="4" width="16.6363636363636" customWidth="1"/>
    <col min="5" max="5" width="18.8181818181818" customWidth="1"/>
    <col min="7" max="7" width="15.8181818181818" customWidth="1"/>
    <col min="9" max="9" width="16.1818181818182" customWidth="1"/>
    <col min="10" max="10" width="11.6363636363636" customWidth="1"/>
    <col min="11" max="11" width="41.2727272727273" customWidth="1"/>
  </cols>
  <sheetData>
    <row r="1" spans="1:12">
      <c r="A1" t="s">
        <v>44</v>
      </c>
      <c r="B1" t="s">
        <v>1</v>
      </c>
      <c r="C1" t="s">
        <v>2</v>
      </c>
      <c r="D1" t="s">
        <v>92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45</v>
      </c>
    </row>
    <row r="2" spans="1:12">
      <c r="A2">
        <v>1001</v>
      </c>
      <c r="B2" s="1" t="s">
        <v>11</v>
      </c>
      <c r="C2" s="1" t="s">
        <v>12</v>
      </c>
      <c r="D2" t="str">
        <f>_xlfn.CONCAT(B2," ",C2)</f>
        <v>Muhammad Ali</v>
      </c>
      <c r="E2">
        <v>30</v>
      </c>
      <c r="F2" t="s">
        <v>13</v>
      </c>
      <c r="G2" t="s">
        <v>14</v>
      </c>
      <c r="H2">
        <v>45000</v>
      </c>
      <c r="I2" s="2" t="s">
        <v>48</v>
      </c>
      <c r="J2" s="2" t="s">
        <v>49</v>
      </c>
      <c r="K2" s="3" t="str">
        <f>VLOOKUP!K2</f>
        <v>Muhammad.Ali@gmail.com</v>
      </c>
      <c r="L2" s="3"/>
    </row>
    <row r="3" spans="1:12">
      <c r="A3">
        <v>1002</v>
      </c>
      <c r="B3" s="1" t="s">
        <v>15</v>
      </c>
      <c r="C3" s="1" t="s">
        <v>16</v>
      </c>
      <c r="D3" t="str">
        <f t="shared" ref="D3:D10" si="0">_xlfn.CONCAT(B3," ",C3)</f>
        <v>Ayesha Khan</v>
      </c>
      <c r="E3">
        <v>30</v>
      </c>
      <c r="F3" t="s">
        <v>17</v>
      </c>
      <c r="G3" t="s">
        <v>18</v>
      </c>
      <c r="H3">
        <v>36000</v>
      </c>
      <c r="I3" s="2" t="s">
        <v>50</v>
      </c>
      <c r="J3" s="2" t="s">
        <v>51</v>
      </c>
      <c r="K3" s="3" t="str">
        <f t="shared" ref="K3:K10" si="1">_xlfn.CONCAT(B3,".",C3,"@gmail.com")</f>
        <v>Ayesha.Khan@gmail.com</v>
      </c>
      <c r="L3" s="3"/>
    </row>
    <row r="4" spans="1:12">
      <c r="A4">
        <v>1003</v>
      </c>
      <c r="B4" s="1" t="s">
        <v>19</v>
      </c>
      <c r="C4" s="1" t="s">
        <v>20</v>
      </c>
      <c r="D4" t="str">
        <f t="shared" si="0"/>
        <v>Shahzad Ahmed</v>
      </c>
      <c r="E4">
        <v>29</v>
      </c>
      <c r="F4" t="s">
        <v>13</v>
      </c>
      <c r="G4" t="s">
        <v>14</v>
      </c>
      <c r="H4">
        <v>63000</v>
      </c>
      <c r="I4" s="2" t="s">
        <v>52</v>
      </c>
      <c r="J4" s="2" t="s">
        <v>53</v>
      </c>
      <c r="K4" s="3" t="str">
        <f t="shared" si="1"/>
        <v>Shahzad.Ahmed@gmail.com</v>
      </c>
      <c r="L4" s="3"/>
    </row>
    <row r="5" spans="1:12">
      <c r="A5">
        <v>1004</v>
      </c>
      <c r="B5" s="1" t="s">
        <v>21</v>
      </c>
      <c r="C5" s="1" t="s">
        <v>22</v>
      </c>
      <c r="D5" t="str">
        <f t="shared" si="0"/>
        <v>Fatima Sana</v>
      </c>
      <c r="E5">
        <v>31</v>
      </c>
      <c r="F5" t="s">
        <v>17</v>
      </c>
      <c r="G5" t="s">
        <v>23</v>
      </c>
      <c r="H5">
        <v>47000</v>
      </c>
      <c r="I5" s="2" t="s">
        <v>54</v>
      </c>
      <c r="J5" s="2" t="s">
        <v>55</v>
      </c>
      <c r="K5" s="3" t="str">
        <f t="shared" si="1"/>
        <v>Fatima.Sana@gmail.com</v>
      </c>
      <c r="L5" s="3"/>
    </row>
    <row r="6" spans="1:12">
      <c r="A6">
        <v>1005</v>
      </c>
      <c r="B6" s="1" t="s">
        <v>24</v>
      </c>
      <c r="C6" s="1" t="s">
        <v>25</v>
      </c>
      <c r="D6" t="str">
        <f t="shared" si="0"/>
        <v>Bilal Siddiqui</v>
      </c>
      <c r="E6">
        <v>32</v>
      </c>
      <c r="F6" t="s">
        <v>13</v>
      </c>
      <c r="G6" t="s">
        <v>26</v>
      </c>
      <c r="H6">
        <v>50000</v>
      </c>
      <c r="I6" s="2" t="s">
        <v>56</v>
      </c>
      <c r="J6" s="2" t="s">
        <v>57</v>
      </c>
      <c r="K6" s="3" t="str">
        <f t="shared" si="1"/>
        <v>Bilal.Siddiqui@gmail.com</v>
      </c>
      <c r="L6" s="3"/>
    </row>
    <row r="7" spans="1:12">
      <c r="A7">
        <v>1006</v>
      </c>
      <c r="B7" s="1" t="s">
        <v>27</v>
      </c>
      <c r="C7" s="1" t="s">
        <v>28</v>
      </c>
      <c r="D7" t="str">
        <f t="shared" si="0"/>
        <v>Zain Faraz</v>
      </c>
      <c r="E7">
        <v>35</v>
      </c>
      <c r="F7" t="s">
        <v>13</v>
      </c>
      <c r="G7" t="s">
        <v>29</v>
      </c>
      <c r="H7">
        <v>65000</v>
      </c>
      <c r="I7" s="2" t="s">
        <v>56</v>
      </c>
      <c r="J7" s="2" t="s">
        <v>58</v>
      </c>
      <c r="K7" s="3" t="str">
        <f t="shared" si="1"/>
        <v>Zain.Faraz@gmail.com</v>
      </c>
      <c r="L7" s="3"/>
    </row>
    <row r="8" spans="1:12">
      <c r="A8">
        <v>1007</v>
      </c>
      <c r="B8" s="1" t="s">
        <v>30</v>
      </c>
      <c r="C8" s="1" t="s">
        <v>31</v>
      </c>
      <c r="D8" t="str">
        <f t="shared" si="0"/>
        <v>Maryam Nawaz</v>
      </c>
      <c r="E8">
        <v>32</v>
      </c>
      <c r="F8" t="s">
        <v>17</v>
      </c>
      <c r="G8" t="s">
        <v>32</v>
      </c>
      <c r="H8">
        <v>41000</v>
      </c>
      <c r="I8" s="2" t="s">
        <v>59</v>
      </c>
      <c r="J8" s="2" t="s">
        <v>58</v>
      </c>
      <c r="K8" s="3" t="str">
        <f t="shared" si="1"/>
        <v>Maryam.Nawaz@gmail.com</v>
      </c>
      <c r="L8" s="3"/>
    </row>
    <row r="9" spans="1:12">
      <c r="A9">
        <v>1008</v>
      </c>
      <c r="B9" s="1" t="s">
        <v>33</v>
      </c>
      <c r="C9" s="1" t="s">
        <v>34</v>
      </c>
      <c r="D9" t="str">
        <f t="shared" si="0"/>
        <v>Kamran Akmal</v>
      </c>
      <c r="E9">
        <v>38</v>
      </c>
      <c r="F9" t="s">
        <v>13</v>
      </c>
      <c r="G9" t="s">
        <v>14</v>
      </c>
      <c r="H9">
        <v>48000</v>
      </c>
      <c r="I9" s="2" t="s">
        <v>60</v>
      </c>
      <c r="J9" s="2" t="s">
        <v>61</v>
      </c>
      <c r="K9" s="3" t="str">
        <f t="shared" si="1"/>
        <v>Kamran.Akmal@gmail.com</v>
      </c>
      <c r="L9" s="3"/>
    </row>
    <row r="10" spans="1:12">
      <c r="A10">
        <v>1009</v>
      </c>
      <c r="B10" s="1" t="s">
        <v>35</v>
      </c>
      <c r="C10" s="1" t="s">
        <v>36</v>
      </c>
      <c r="D10" t="str">
        <f t="shared" si="0"/>
        <v>Faisal Qureshi</v>
      </c>
      <c r="E10">
        <v>31</v>
      </c>
      <c r="F10" t="s">
        <v>13</v>
      </c>
      <c r="G10" t="s">
        <v>23</v>
      </c>
      <c r="H10">
        <v>42000</v>
      </c>
      <c r="I10" s="2" t="s">
        <v>62</v>
      </c>
      <c r="J10" s="2" t="s">
        <v>61</v>
      </c>
      <c r="K10" s="3" t="str">
        <f t="shared" si="1"/>
        <v>Faisal.Qureshi@gmail.com</v>
      </c>
      <c r="L10" s="3"/>
    </row>
    <row r="12" spans="1:12">
      <c r="C12" s="4" t="s">
        <v>93</v>
      </c>
      <c r="D12" s="4" t="s">
        <v>94</v>
      </c>
    </row>
    <row r="13" spans="1:12">
      <c r="C13" t="s">
        <v>95</v>
      </c>
      <c r="D13" t="str">
        <f>_xlfn.XLOOKUP(C13,D2:D10,K2:K10,"Not Found")</f>
        <v>Bilal.Siddiqui@gmail.com</v>
      </c>
    </row>
    <row r="14" spans="1:12">
      <c r="C14" t="s">
        <v>96</v>
      </c>
      <c r="D14" t="str">
        <f t="shared" ref="D14:D15" si="2">_xlfn.XLOOKUP(C14,D3:D11,K3:K11,"Not Found")</f>
        <v>Ayesha.Khan@gmail.com</v>
      </c>
    </row>
    <row r="15" spans="1:12">
      <c r="C15" t="s">
        <v>97</v>
      </c>
      <c r="D15" t="str">
        <f t="shared" si="2"/>
        <v>Faisal.Qureshi@gmail.com</v>
      </c>
    </row>
    <row r="17" spans="3:5">
      <c r="C17" s="4" t="s">
        <v>98</v>
      </c>
      <c r="D17" s="4" t="s">
        <v>99</v>
      </c>
      <c r="E17" s="4" t="s">
        <v>45</v>
      </c>
    </row>
    <row r="18" spans="3:5">
      <c r="C18" t="s">
        <v>95</v>
      </c>
      <c r="D18" t="str" cm="1">
        <f t="array" ref="D18:E18">_xlfn.XLOOKUP(C18,D2:D10,J2:K10)</f>
        <v>8/30/2017</v>
      </c>
      <c r="E18" t="str">
        <v>Bilal.Siddiqui@gmail.com</v>
      </c>
    </row>
    <row r="19" spans="3:5">
      <c r="C19" t="s">
        <v>96</v>
      </c>
      <c r="D19" t="str" cm="1">
        <f t="array" ref="D19:E19">_xlfn.XLOOKUP(C19,D3:D11,J3:K11)</f>
        <v>10/10/2015</v>
      </c>
      <c r="E19" t="str">
        <v>Ayesha.Khan@gmail.com</v>
      </c>
    </row>
    <row r="20" spans="3:5">
      <c r="C20" t="s">
        <v>97</v>
      </c>
      <c r="D20" t="str" cm="1">
        <f t="array" ref="D20:E20">_xlfn.XLOOKUP(C20,D4:D12,J4:K12)</f>
        <v>4/22/2015</v>
      </c>
      <c r="E20" t="str">
        <v>Faisal.Qureshi@gmail.com</v>
      </c>
    </row>
    <row r="22" spans="3:5">
      <c r="C22" s="4" t="s">
        <v>100</v>
      </c>
      <c r="D22" s="4" t="s">
        <v>94</v>
      </c>
    </row>
    <row r="23" spans="3:5">
      <c r="C23" t="s">
        <v>101</v>
      </c>
      <c r="D23" t="str">
        <f>_xlfn.XLOOKUP("*"&amp;C23&amp;"*",D2:D10,K2:K10,"Not Found",2)</f>
        <v>Bilal.Siddiqui@gmail.com</v>
      </c>
    </row>
    <row r="24" spans="3:5">
      <c r="C24" t="s">
        <v>16</v>
      </c>
      <c r="D24" t="str">
        <f t="shared" ref="D24:D25" si="3">_xlfn.XLOOKUP("*"&amp;C24&amp;"*",D3:D11,K3:K11,"Not Found",2)</f>
        <v>Ayesha.Khan@gmail.com</v>
      </c>
    </row>
    <row r="25" spans="3:5">
      <c r="C25" t="s">
        <v>102</v>
      </c>
      <c r="D25" t="str">
        <f t="shared" si="3"/>
        <v>Faisal.Qureshi@gmail.com</v>
      </c>
    </row>
    <row r="27" spans="3:5">
      <c r="C27" s="4" t="s">
        <v>103</v>
      </c>
      <c r="D27" s="4" t="s">
        <v>104</v>
      </c>
    </row>
    <row r="28" spans="3:5">
      <c r="C28" s="2" t="s">
        <v>105</v>
      </c>
      <c r="D28" t="str">
        <f>_xlfn.XLOOKUP(C28,I2:I10,D2:D10,,1)</f>
        <v>Fatima Sana</v>
      </c>
      <c r="E28" s="3"/>
    </row>
    <row r="29" spans="3:5">
      <c r="C29" s="2" t="s">
        <v>56</v>
      </c>
      <c r="D29" t="str">
        <f>_xlfn.XLOOKUP(C29,I2:I10,D2:D10,,,1)</f>
        <v>Bilal Siddiqui</v>
      </c>
    </row>
    <row r="30" spans="3:5">
      <c r="D30" t="str">
        <f>_xlfn.XLOOKUP(C29,I2:I10,D2:D10,,,-1)</f>
        <v>Zain Faraz</v>
      </c>
    </row>
    <row r="31" spans="3:5">
      <c r="C31" s="3"/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/>
  </sheetPr>
  <dimension ref="A1:M12"/>
  <sheetViews>
    <sheetView workbookViewId="0">
      <selection activeCell="O1" sqref="O1"/>
    </sheetView>
  </sheetViews>
  <sheetFormatPr defaultColWidth="9" defaultRowHeight="14.5"/>
  <cols>
    <col min="1" max="1" width="18.2727272727273" customWidth="1"/>
    <col min="2" max="2" width="14.9090909090909" customWidth="1"/>
    <col min="10" max="10" width="10.8181818181818" customWidth="1"/>
    <col min="12" max="12" width="10.0909090909091" customWidth="1"/>
  </cols>
  <sheetData>
    <row r="1" spans="1:13">
      <c r="B1" t="s">
        <v>106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  <c r="I1" t="s">
        <v>113</v>
      </c>
      <c r="J1" t="s">
        <v>114</v>
      </c>
      <c r="K1" t="s">
        <v>115</v>
      </c>
      <c r="L1" t="s">
        <v>116</v>
      </c>
      <c r="M1" t="s">
        <v>117</v>
      </c>
    </row>
    <row r="2" spans="1:13">
      <c r="A2" t="s">
        <v>118</v>
      </c>
      <c r="B2">
        <v>450</v>
      </c>
      <c r="C2">
        <v>310</v>
      </c>
      <c r="D2">
        <v>150</v>
      </c>
      <c r="E2">
        <v>750</v>
      </c>
      <c r="F2">
        <v>440</v>
      </c>
      <c r="G2">
        <v>485</v>
      </c>
      <c r="H2">
        <v>510</v>
      </c>
      <c r="I2">
        <v>347</v>
      </c>
      <c r="J2">
        <v>736</v>
      </c>
      <c r="K2">
        <v>155</v>
      </c>
      <c r="L2">
        <v>450</v>
      </c>
      <c r="M2">
        <v>288</v>
      </c>
    </row>
    <row r="3" spans="1:13">
      <c r="A3" t="s">
        <v>119</v>
      </c>
      <c r="B3">
        <v>75</v>
      </c>
      <c r="C3">
        <v>40</v>
      </c>
      <c r="D3">
        <v>65</v>
      </c>
      <c r="E3">
        <v>50</v>
      </c>
      <c r="F3">
        <v>24</v>
      </c>
      <c r="G3">
        <v>71</v>
      </c>
      <c r="H3">
        <v>57</v>
      </c>
      <c r="I3">
        <v>61</v>
      </c>
      <c r="J3">
        <v>34</v>
      </c>
      <c r="K3">
        <v>41</v>
      </c>
      <c r="L3">
        <v>58</v>
      </c>
      <c r="M3">
        <v>91</v>
      </c>
    </row>
    <row r="4" spans="1:13">
      <c r="A4" t="s">
        <v>120</v>
      </c>
      <c r="B4">
        <v>200</v>
      </c>
      <c r="C4">
        <v>118</v>
      </c>
      <c r="D4">
        <v>145</v>
      </c>
      <c r="E4">
        <v>210</v>
      </c>
      <c r="F4">
        <v>45</v>
      </c>
      <c r="G4">
        <v>170</v>
      </c>
      <c r="H4">
        <v>130</v>
      </c>
      <c r="I4">
        <v>90</v>
      </c>
      <c r="J4">
        <v>55</v>
      </c>
      <c r="K4">
        <v>110</v>
      </c>
      <c r="L4">
        <v>130</v>
      </c>
      <c r="M4">
        <v>180</v>
      </c>
    </row>
    <row r="6" spans="1:13">
      <c r="A6" s="4" t="s">
        <v>121</v>
      </c>
      <c r="B6" s="4" t="s">
        <v>122</v>
      </c>
    </row>
    <row r="7" spans="1:13">
      <c r="A7" t="s">
        <v>118</v>
      </c>
      <c r="B7">
        <f>_xlfn.XLOOKUP(C1,B1:M1,B2:M2)</f>
        <v>310</v>
      </c>
    </row>
    <row r="8" spans="1:13">
      <c r="A8" t="s">
        <v>119</v>
      </c>
      <c r="B8">
        <f t="shared" ref="B8:B9" si="0">_xlfn.XLOOKUP(C2,B2:M2,B3:M3)</f>
        <v>40</v>
      </c>
    </row>
    <row r="9" spans="1:13">
      <c r="A9" t="s">
        <v>120</v>
      </c>
      <c r="B9">
        <f t="shared" si="0"/>
        <v>118</v>
      </c>
    </row>
    <row r="11" spans="1:13">
      <c r="A11" s="4" t="s">
        <v>123</v>
      </c>
      <c r="B11" s="4" t="s">
        <v>124</v>
      </c>
    </row>
    <row r="12" spans="1:13">
      <c r="A12" t="s">
        <v>118</v>
      </c>
      <c r="B12">
        <f>SUM(_xlfn.XLOOKUP(C1,B1:M1,B2:M2),_xlfn.XLOOKUP(D1,B1:M1,B2:M2))</f>
        <v>460</v>
      </c>
    </row>
  </sheetData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/>
  </sheetPr>
  <dimension ref="A1:K17"/>
  <sheetViews>
    <sheetView tabSelected="1" workbookViewId="0">
      <selection activeCell="L12" sqref="L12"/>
    </sheetView>
  </sheetViews>
  <sheetFormatPr defaultColWidth="9" defaultRowHeight="14.5"/>
  <cols>
    <col min="1" max="1" width="11.0909090909091" customWidth="1"/>
    <col min="2" max="2" width="15.2727272727273" customWidth="1"/>
    <col min="3" max="3" width="11.4545454545455" customWidth="1"/>
    <col min="4" max="4" width="14.8181818181818" customWidth="1"/>
    <col min="7" max="7" width="17.1818181818182" customWidth="1"/>
    <col min="9" max="9" width="13.0909090909091" customWidth="1"/>
    <col min="10" max="10" width="12.8181818181818" customWidth="1"/>
    <col min="11" max="11" width="8.72727272727273" customWidth="1"/>
  </cols>
  <sheetData>
    <row r="1" spans="1:11">
      <c r="A1" t="s">
        <v>0</v>
      </c>
      <c r="B1" t="s">
        <v>1</v>
      </c>
      <c r="C1" t="s">
        <v>2</v>
      </c>
      <c r="D1" t="s">
        <v>92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45</v>
      </c>
    </row>
    <row r="2" spans="1:11">
      <c r="A2">
        <v>1001</v>
      </c>
      <c r="B2" s="1" t="s">
        <v>11</v>
      </c>
      <c r="C2" s="1" t="s">
        <v>12</v>
      </c>
      <c r="D2" t="str">
        <f>_xlfn.CONCAT(B2," ",C2)</f>
        <v>Muhammad Ali</v>
      </c>
      <c r="E2">
        <v>30</v>
      </c>
      <c r="F2" t="s">
        <v>13</v>
      </c>
      <c r="G2" t="s">
        <v>14</v>
      </c>
      <c r="H2">
        <v>45000</v>
      </c>
      <c r="I2" s="2" t="s">
        <v>48</v>
      </c>
      <c r="J2" s="2" t="s">
        <v>49</v>
      </c>
      <c r="K2" s="3" t="str">
        <f>_xlfn.CONCAT(B2,".",C2,"@gmail.com")</f>
        <v>Muhammad.Ali@gmail.com</v>
      </c>
    </row>
    <row r="3" spans="1:11">
      <c r="A3">
        <v>1002</v>
      </c>
      <c r="B3" s="1" t="s">
        <v>15</v>
      </c>
      <c r="C3" s="1" t="s">
        <v>16</v>
      </c>
      <c r="D3" t="str">
        <f t="shared" ref="D3:D10" si="0">_xlfn.CONCAT(B3," ",C3)</f>
        <v>Ayesha Khan</v>
      </c>
      <c r="E3">
        <v>30</v>
      </c>
      <c r="F3" t="s">
        <v>17</v>
      </c>
      <c r="G3" t="s">
        <v>18</v>
      </c>
      <c r="H3">
        <v>36000</v>
      </c>
      <c r="I3" s="2" t="s">
        <v>50</v>
      </c>
      <c r="J3" s="2" t="s">
        <v>51</v>
      </c>
      <c r="K3" s="3" t="str">
        <f t="shared" ref="K3:K10" si="1">_xlfn.CONCAT(B3,".",C3,"@gmail.com")</f>
        <v>Ayesha.Khan@gmail.com</v>
      </c>
    </row>
    <row r="4" spans="1:11">
      <c r="A4">
        <v>1003</v>
      </c>
      <c r="B4" s="1" t="s">
        <v>19</v>
      </c>
      <c r="C4" s="1" t="s">
        <v>20</v>
      </c>
      <c r="D4" t="str">
        <f t="shared" si="0"/>
        <v>Shahzad Ahmed</v>
      </c>
      <c r="E4">
        <v>29</v>
      </c>
      <c r="F4" t="s">
        <v>13</v>
      </c>
      <c r="G4" t="s">
        <v>14</v>
      </c>
      <c r="H4">
        <v>63000</v>
      </c>
      <c r="I4" s="2" t="s">
        <v>52</v>
      </c>
      <c r="J4" s="2" t="s">
        <v>53</v>
      </c>
      <c r="K4" s="3" t="str">
        <f t="shared" si="1"/>
        <v>Shahzad.Ahmed@gmail.com</v>
      </c>
    </row>
    <row r="5" spans="1:11">
      <c r="A5">
        <v>1004</v>
      </c>
      <c r="B5" s="1" t="s">
        <v>21</v>
      </c>
      <c r="C5" s="1" t="s">
        <v>22</v>
      </c>
      <c r="D5" t="str">
        <f t="shared" si="0"/>
        <v>Fatima Sana</v>
      </c>
      <c r="E5">
        <v>31</v>
      </c>
      <c r="F5" t="s">
        <v>17</v>
      </c>
      <c r="G5" t="s">
        <v>23</v>
      </c>
      <c r="H5">
        <v>47000</v>
      </c>
      <c r="I5" s="2" t="s">
        <v>54</v>
      </c>
      <c r="J5" s="2" t="s">
        <v>55</v>
      </c>
      <c r="K5" s="3" t="str">
        <f t="shared" si="1"/>
        <v>Fatima.Sana@gmail.com</v>
      </c>
    </row>
    <row r="6" spans="1:11">
      <c r="A6">
        <v>1005</v>
      </c>
      <c r="B6" s="1" t="s">
        <v>24</v>
      </c>
      <c r="C6" s="1" t="s">
        <v>25</v>
      </c>
      <c r="D6" t="str">
        <f t="shared" si="0"/>
        <v>Bilal Siddiqui</v>
      </c>
      <c r="E6">
        <v>32</v>
      </c>
      <c r="F6" t="s">
        <v>13</v>
      </c>
      <c r="G6" t="s">
        <v>26</v>
      </c>
      <c r="H6">
        <v>50000</v>
      </c>
      <c r="I6" s="2" t="s">
        <v>56</v>
      </c>
      <c r="J6" s="2" t="s">
        <v>57</v>
      </c>
      <c r="K6" s="3" t="str">
        <f t="shared" si="1"/>
        <v>Bilal.Siddiqui@gmail.com</v>
      </c>
    </row>
    <row r="7" spans="1:11">
      <c r="A7">
        <v>1006</v>
      </c>
      <c r="B7" s="1" t="s">
        <v>27</v>
      </c>
      <c r="C7" s="1" t="s">
        <v>28</v>
      </c>
      <c r="D7" t="str">
        <f t="shared" si="0"/>
        <v>Zain Faraz</v>
      </c>
      <c r="E7">
        <v>35</v>
      </c>
      <c r="F7" t="s">
        <v>13</v>
      </c>
      <c r="G7" t="s">
        <v>29</v>
      </c>
      <c r="H7">
        <v>65000</v>
      </c>
      <c r="I7" s="2" t="s">
        <v>56</v>
      </c>
      <c r="J7" s="2" t="s">
        <v>58</v>
      </c>
      <c r="K7" s="3" t="str">
        <f t="shared" si="1"/>
        <v>Zain.Faraz@gmail.com</v>
      </c>
    </row>
    <row r="8" spans="1:11">
      <c r="A8">
        <v>1007</v>
      </c>
      <c r="B8" s="1" t="s">
        <v>30</v>
      </c>
      <c r="C8" s="1" t="s">
        <v>31</v>
      </c>
      <c r="D8" t="str">
        <f t="shared" si="0"/>
        <v>Maryam Nawaz</v>
      </c>
      <c r="E8">
        <v>32</v>
      </c>
      <c r="F8" t="s">
        <v>17</v>
      </c>
      <c r="G8" t="s">
        <v>32</v>
      </c>
      <c r="H8">
        <v>41000</v>
      </c>
      <c r="I8" s="2" t="s">
        <v>59</v>
      </c>
      <c r="J8" s="2" t="s">
        <v>58</v>
      </c>
      <c r="K8" s="3" t="str">
        <f t="shared" si="1"/>
        <v>Maryam.Nawaz@gmail.com</v>
      </c>
    </row>
    <row r="9" spans="1:11">
      <c r="A9">
        <v>1008</v>
      </c>
      <c r="B9" s="1" t="s">
        <v>33</v>
      </c>
      <c r="C9" s="1" t="s">
        <v>34</v>
      </c>
      <c r="D9" t="str">
        <f t="shared" si="0"/>
        <v>Kamran Akmal</v>
      </c>
      <c r="E9">
        <v>38</v>
      </c>
      <c r="F9" t="s">
        <v>13</v>
      </c>
      <c r="G9" t="s">
        <v>14</v>
      </c>
      <c r="H9">
        <v>48000</v>
      </c>
      <c r="I9" s="2" t="s">
        <v>60</v>
      </c>
      <c r="J9" s="2" t="s">
        <v>61</v>
      </c>
      <c r="K9" s="3" t="str">
        <f t="shared" si="1"/>
        <v>Kamran.Akmal@gmail.com</v>
      </c>
    </row>
    <row r="10" spans="1:11">
      <c r="A10">
        <v>1009</v>
      </c>
      <c r="B10" s="1" t="s">
        <v>35</v>
      </c>
      <c r="C10" s="1" t="s">
        <v>36</v>
      </c>
      <c r="D10" t="str">
        <f t="shared" si="0"/>
        <v>Faisal Qureshi</v>
      </c>
      <c r="E10">
        <v>31</v>
      </c>
      <c r="F10" t="s">
        <v>13</v>
      </c>
      <c r="G10" t="s">
        <v>23</v>
      </c>
      <c r="H10">
        <v>42000</v>
      </c>
      <c r="I10" s="2" t="s">
        <v>62</v>
      </c>
      <c r="J10" s="2" t="s">
        <v>61</v>
      </c>
      <c r="K10" s="3" t="str">
        <f t="shared" si="1"/>
        <v>Faisal.Qureshi@gmail.com</v>
      </c>
    </row>
    <row r="13" spans="1:11">
      <c r="C13" s="4" t="s">
        <v>94</v>
      </c>
    </row>
    <row r="14" spans="1:11">
      <c r="B14" t="s">
        <v>96</v>
      </c>
      <c r="C14" t="str">
        <f>VLOOKUP(B14,D2:K10,8,FALSE)</f>
        <v>Ayesha.Khan@gmail.com</v>
      </c>
    </row>
    <row r="15" spans="1:11">
      <c r="B15" t="s">
        <v>125</v>
      </c>
      <c r="C15" t="str">
        <f t="shared" ref="C15:C16" si="2">VLOOKUP(B15,D3:K11,8,FALSE)</f>
        <v>Zain.Faraz@gmail.com</v>
      </c>
    </row>
    <row r="16" spans="1:11">
      <c r="B16" t="s">
        <v>126</v>
      </c>
      <c r="C16" t="str">
        <f t="shared" si="2"/>
        <v>Kamran.Akmal@gmail.com</v>
      </c>
    </row>
    <row r="17" spans="3:3">
      <c r="C17" t="s">
        <v>127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Max-Min</vt:lpstr>
      <vt:lpstr>IF-IFS</vt:lpstr>
      <vt:lpstr>Len</vt:lpstr>
      <vt:lpstr>LeftRight</vt:lpstr>
      <vt:lpstr>DateToText</vt:lpstr>
      <vt:lpstr>TRIM</vt:lpstr>
      <vt:lpstr>Substitute</vt:lpstr>
      <vt:lpstr>SUM-SumIF</vt:lpstr>
      <vt:lpstr>Count-CountIF</vt:lpstr>
      <vt:lpstr>Concatenate</vt:lpstr>
      <vt:lpstr>Days-NetworkDays</vt:lpstr>
      <vt:lpstr>XLOOKUP</vt:lpstr>
      <vt:lpstr>XLOOKUP Horizontal</vt:lpstr>
      <vt:lpstr>VLOOKUP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PMYLS</cp:lastModifiedBy>
  <dcterms:created xsi:type="dcterms:W3CDTF">2021-12-16T14:18:00Z</dcterms:created>
  <dcterms:modified xsi:type="dcterms:W3CDTF">2026-07-04T13:34:11Z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9881C1495AE14497B9D6F8F135945FF1_12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